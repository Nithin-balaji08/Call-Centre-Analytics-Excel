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15345" windowHeight="3975" activeTab="2"/>
  </bookViews>
  <sheets>
    <sheet name="pivots" sheetId="6" r:id="rId1"/>
    <sheet name="Data" sheetId="2" r:id="rId2"/>
    <sheet name="Customer center report " sheetId="5" r:id="rId3"/>
  </sheets>
  <definedNames>
    <definedName name="_xlnm._FilterDatabase" localSheetId="1"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62913"/>
  <pivotCaches>
    <pivotCache cacheId="639" r:id="rId4"/>
    <pivotCache cacheId="640" r:id="rId5"/>
    <pivotCache cacheId="641" r:id="rId6"/>
    <pivotCache cacheId="642" r:id="rId7"/>
    <pivotCache cacheId="711" r:id="rId8"/>
    <pivotCache cacheId="714" r:id="rId9"/>
    <pivotCache cacheId="717" r:id="rId10"/>
    <pivotCache cacheId="720" r:id="rId11"/>
    <pivotCache cacheId="723" r:id="rId12"/>
  </pivotCaches>
  <extLst>
    <ext xmlns:x14="http://schemas.microsoft.com/office/spreadsheetml/2009/9/main" uri="{876F7934-8845-4945-9796-88D515C7AA90}">
      <x14:pivotCaches>
        <pivotCache cacheId="648"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Q17" i="5" l="1"/>
  <c r="R17" i="5"/>
  <c r="S17" i="5"/>
  <c r="T17" i="5"/>
  <c r="U17" i="5"/>
  <c r="V17" i="5"/>
  <c r="P18" i="5"/>
  <c r="P19" i="5"/>
  <c r="Q19" i="5"/>
  <c r="R19" i="5"/>
  <c r="S19" i="5"/>
  <c r="T19" i="5"/>
  <c r="U19" i="5"/>
  <c r="V19" i="5"/>
  <c r="P20" i="5"/>
  <c r="Q20" i="5"/>
  <c r="R20" i="5"/>
  <c r="S20" i="5"/>
  <c r="T20" i="5"/>
  <c r="U20" i="5"/>
  <c r="V20" i="5"/>
  <c r="P21" i="5"/>
  <c r="Q21" i="5"/>
  <c r="R21" i="5"/>
  <c r="S21" i="5"/>
  <c r="T21" i="5"/>
  <c r="U21" i="5"/>
  <c r="V21" i="5"/>
  <c r="P22" i="5"/>
  <c r="Q22" i="5"/>
  <c r="R22" i="5"/>
  <c r="S22" i="5"/>
  <c r="T22" i="5"/>
  <c r="U22" i="5"/>
  <c r="V22" i="5"/>
  <c r="P23" i="5"/>
  <c r="P24" i="5"/>
  <c r="Q24" i="5"/>
  <c r="R24" i="5"/>
  <c r="S24" i="5"/>
  <c r="T24" i="5"/>
  <c r="U24" i="5"/>
  <c r="V24" i="5"/>
  <c r="P25" i="5"/>
  <c r="Q25" i="5"/>
  <c r="R25" i="5"/>
  <c r="S25" i="5"/>
  <c r="T25" i="5"/>
  <c r="U25" i="5"/>
  <c r="V25" i="5"/>
  <c r="P26" i="5"/>
  <c r="Q26" i="5"/>
  <c r="R26" i="5"/>
  <c r="S26" i="5"/>
  <c r="T26" i="5"/>
  <c r="U26" i="5"/>
  <c r="V26" i="5"/>
  <c r="P27" i="5"/>
  <c r="Q27" i="5"/>
  <c r="R27" i="5"/>
  <c r="S27" i="5"/>
  <c r="T27" i="5"/>
  <c r="U27" i="5"/>
  <c r="V27" i="5"/>
  <c r="P28" i="5"/>
  <c r="Q28" i="5"/>
  <c r="R28" i="5"/>
  <c r="S28" i="5"/>
  <c r="T28" i="5"/>
  <c r="U28" i="5"/>
  <c r="V28" i="5"/>
  <c r="P29" i="5"/>
  <c r="Q29" i="5"/>
  <c r="R29" i="5"/>
  <c r="S29" i="5"/>
  <c r="T29" i="5"/>
  <c r="U29" i="5"/>
  <c r="V29" i="5"/>
  <c r="P30" i="5"/>
  <c r="P31" i="5"/>
  <c r="Q31" i="5"/>
  <c r="R31" i="5"/>
  <c r="S31" i="5"/>
  <c r="T31" i="5"/>
  <c r="U31" i="5"/>
  <c r="V31" i="5"/>
  <c r="P32" i="5"/>
  <c r="Q32" i="5"/>
  <c r="R32" i="5"/>
  <c r="S32" i="5"/>
  <c r="T32" i="5"/>
  <c r="U32" i="5"/>
  <c r="V32" i="5"/>
  <c r="P33" i="5"/>
  <c r="Q33" i="5"/>
  <c r="R33" i="5"/>
  <c r="S33" i="5"/>
  <c r="T33" i="5"/>
  <c r="U33" i="5"/>
  <c r="V33" i="5"/>
  <c r="P34" i="5"/>
  <c r="Q34" i="5"/>
  <c r="R34" i="5"/>
  <c r="S34" i="5"/>
  <c r="T34" i="5"/>
  <c r="U34" i="5"/>
  <c r="V34" i="5"/>
  <c r="P35" i="5"/>
  <c r="Q35" i="5"/>
  <c r="R35" i="5"/>
  <c r="S35" i="5"/>
  <c r="T35" i="5"/>
  <c r="U35" i="5"/>
  <c r="V35" i="5"/>
  <c r="L1003" i="2" l="1"/>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I48" i="6"/>
  <c r="I55" i="6" s="1"/>
  <c r="I56" i="6" l="1"/>
  <c r="H54" i="6"/>
  <c r="I54" i="6"/>
  <c r="H52" i="6"/>
  <c r="H56" i="6"/>
  <c r="I52" i="6"/>
  <c r="H53" i="6"/>
  <c r="H55" i="6"/>
  <c r="I53" i="6"/>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07.sample-data-excel-portfolio-project.xlsx!calls" type="102" refreshedVersion="6"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name="WorksheetConnection_07.sample-data-excel-portfolio-project.xlsx!customers" type="102" refreshedVersion="6"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sharedStrings.xml><?xml version="1.0" encoding="utf-8"?>
<sst xmlns="http://schemas.openxmlformats.org/spreadsheetml/2006/main" count="3162" uniqueCount="1076">
  <si>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</si>
  <si>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</si>
  <si>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</si>
  <si>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</si>
  <si>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</si>
  <si>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</si>
  <si>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</si>
  <si>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</si>
  <si>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</si>
  <si>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</si>
  <si>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</si>
  <si>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</si>
  <si>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</si>
  <si>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</si>
  <si>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</si>
  <si>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</si>
  <si>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</si>
  <si>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</si>
  <si>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</si>
  <si>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</si>
  <si>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</si>
  <si>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</si>
  <si>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</si>
  <si>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</si>
  <si>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</si>
  <si>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</si>
  <si>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</si>
  <si>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</si>
  <si>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</si>
  <si>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</si>
  <si>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</si>
  <si>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</si>
  <si>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</si>
  <si>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</si>
  <si>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</si>
  <si>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</si>
  <si>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</si>
  <si>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</si>
  <si>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</si>
  <si>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</si>
  <si>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</si>
  <si>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</si>
  <si>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</si>
  <si>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</si>
  <si>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</si>
  <si>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</si>
  <si>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</si>
  <si>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</si>
  <si>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</si>
  <si>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</si>
  <si>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</si>
  <si>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</si>
  <si>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</si>
  <si>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</si>
  <si>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</si>
  <si>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</si>
  <si>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</si>
  <si>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</si>
  <si>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</si>
  <si>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</si>
  <si>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</si>
  <si>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</si>
  <si>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</si>
  <si>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</si>
  <si>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</si>
  <si>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</si>
  <si>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</si>
  <si>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</si>
  <si>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</si>
  <si>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</si>
  <si>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</si>
  <si>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</si>
  <si>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</si>
  <si>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</si>
  <si>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</si>
  <si>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</si>
  <si>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</si>
  <si>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</si>
  <si>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</si>
  <si>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</si>
  <si>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</si>
  <si>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</si>
  <si>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</si>
  <si>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</si>
  <si>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</si>
  <si>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</si>
  <si>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</si>
  <si>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</si>
  <si>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</si>
  <si>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</si>
  <si>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</si>
  <si>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</si>
  <si>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</si>
  <si>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</si>
  <si>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</si>
  <si>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</si>
  <si>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</si>
  <si>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</si>
  <si>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</si>
  <si>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</si>
  <si>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</si>
  <si>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</si>
  <si>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</si>
  <si>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</si>
  <si>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</si>
  <si>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</si>
  <si>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</si>
  <si>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</si>
  <si>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</si>
  <si>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</si>
  <si>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</si>
  <si>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</si>
  <si>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</si>
  <si>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</si>
  <si>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</si>
  <si>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</si>
  <si>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</si>
  <si>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</si>
  <si>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</si>
  <si>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</si>
  <si>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</si>
  <si>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</si>
  <si>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</si>
  <si>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</si>
  <si>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</si>
  <si>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</si>
  <si>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</si>
  <si>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</si>
  <si>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</si>
  <si>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</si>
  <si>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</si>
  <si>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</si>
  <si>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</si>
  <si>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</si>
  <si>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</si>
  <si>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</si>
  <si>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</si>
  <si>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</si>
  <si>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</si>
  <si>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</si>
  <si>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</si>
  <si>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</si>
  <si>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</si>
  <si>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</si>
  <si>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</si>
  <si>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</si>
  <si>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</si>
  <si>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</si>
  <si>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</si>
  <si>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</si>
  <si>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</si>
  <si>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</si>
  <si>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</si>
  <si>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</si>
  <si>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</si>
  <si>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</si>
  <si>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</si>
  <si>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</si>
  <si>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</si>
  <si>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</si>
  <si>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</si>
  <si>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</si>
  <si>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</si>
  <si>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</si>
  <si>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</si>
  <si>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</si>
  <si>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</si>
  <si>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</si>
  <si>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</si>
  <si>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</si>
  <si>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</si>
  <si>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</si>
  <si>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</si>
  <si>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</si>
  <si>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</si>
  <si>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</si>
  <si>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</si>
  <si>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</si>
  <si>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</si>
  <si>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</si>
  <si>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</si>
  <si>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</si>
  <si>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</si>
  <si>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</si>
  <si>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</si>
  <si>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</si>
  <si>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</si>
  <si>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</si>
  <si>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</si>
  <si>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</si>
  <si>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</si>
  <si>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</si>
  <si>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</si>
  <si>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</si>
  <si>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</si>
  <si>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</si>
  <si>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</si>
  <si>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</si>
  <si>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</si>
  <si>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</si>
  <si>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</si>
  <si>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</si>
  <si>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</si>
  <si>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</si>
  <si>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</si>
  <si>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</si>
  <si>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</si>
  <si>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</si>
  <si>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</si>
  <si>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</si>
  <si>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</si>
  <si>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</si>
  <si>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</si>
  <si>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</si>
  <si>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</si>
  <si>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</si>
  <si>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</si>
  <si>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</si>
  <si>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</si>
  <si>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</si>
  <si>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</si>
  <si>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</si>
  <si>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</si>
  <si>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</si>
  <si>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</si>
  <si>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</si>
  <si>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</si>
  <si>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</si>
  <si>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</si>
  <si>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</si>
  <si>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</si>
  <si>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</si>
  <si>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</si>
  <si>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</si>
  <si>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</si>
  <si>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</si>
  <si>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</si>
  <si>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</si>
  <si>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</si>
  <si>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</si>
  <si>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</si>
  <si>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</si>
  <si>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</si>
  <si>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</si>
  <si>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</si>
  <si>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</si>
  <si>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</si>
  <si>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</si>
  <si>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</si>
  <si>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</si>
  <si>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</si>
  <si>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</si>
  <si>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</si>
  <si>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</si>
  <si>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</si>
  <si>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</si>
  <si>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</si>
  <si>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</si>
  <si>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</si>
  <si>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</si>
  <si>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</si>
  <si>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</si>
  <si>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</si>
  <si>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</si>
  <si>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</si>
  <si>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</si>
  <si>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</si>
  <si>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</si>
  <si>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</si>
  <si>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</si>
  <si>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</si>
  <si>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</si>
  <si>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</si>
  <si>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</si>
  <si>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</si>
  <si>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</si>
  <si>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</si>
  <si>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</si>
  <si>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</si>
  <si>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</si>
  <si>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</si>
  <si>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</si>
  <si>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</si>
  <si>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</si>
  <si>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</si>
  <si>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</si>
  <si>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</si>
  <si>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</si>
  <si>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</si>
  <si>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</si>
  <si>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</si>
  <si>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</si>
  <si>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</si>
  <si>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</si>
  <si>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</si>
  <si>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</si>
  <si>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</si>
  <si>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</si>
  <si>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</si>
  <si>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</si>
  <si>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</si>
  <si>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</si>
  <si>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</si>
  <si>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</si>
  <si>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</si>
  <si>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</si>
  <si>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</si>
  <si>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</si>
  <si>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</si>
  <si>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</si>
  <si>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</si>
  <si>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</si>
  <si>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</si>
  <si>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</si>
  <si>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</si>
  <si>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</si>
  <si>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</si>
  <si>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</si>
  <si>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</si>
  <si>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</si>
  <si>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</si>
  <si>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</si>
  <si>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</si>
  <si>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</si>
  <si>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</si>
  <si>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</si>
  <si>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</si>
  <si>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</si>
  <si>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</si>
  <si>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</si>
  <si>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</si>
  <si>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</si>
  <si>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</si>
  <si>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</si>
  <si>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</si>
  <si>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</si>
  <si>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</si>
  <si>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</si>
  <si>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</si>
  <si>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</si>
  <si>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</si>
  <si>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</si>
  <si>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</si>
  <si>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</si>
  <si>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</si>
  <si>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</si>
  <si>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</si>
  <si>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</si>
  <si>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</si>
  <si>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</si>
  <si>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</si>
  <si>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</si>
  <si>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</si>
  <si>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</si>
  <si>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</si>
  <si>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</si>
  <si>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</si>
  <si>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</si>
  <si>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</si>
  <si>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</si>
  <si>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</si>
  <si>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</si>
  <si>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</si>
  <si>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</si>
  <si>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</si>
  <si>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</si>
  <si>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</si>
  <si>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</si>
  <si>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</si>
  <si>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</si>
  <si>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</si>
  <si>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</si>
  <si>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</si>
  <si>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</si>
  <si>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</si>
  <si>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</si>
  <si>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</si>
  <si>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</si>
  <si>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</si>
  <si>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</si>
  <si>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</si>
  <si>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</si>
  <si>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</si>
  <si>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</si>
  <si>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</si>
  <si>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</si>
  <si>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</si>
  <si>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</si>
  <si>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</si>
  <si>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</si>
  <si>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</si>
  <si>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</si>
  <si>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</si>
  <si>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</si>
  <si>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</si>
  <si>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</si>
  <si>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</si>
  <si>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</si>
  <si>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</si>
  <si>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</si>
  <si>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</si>
  <si>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</si>
  <si>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</si>
  <si>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</si>
  <si>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</si>
  <si>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</si>
  <si>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</si>
  <si>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</si>
  <si>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</si>
  <si>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</si>
  <si>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</si>
  <si>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</si>
  <si>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</si>
  <si>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</si>
  <si>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</si>
  <si>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</si>
  <si>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</si>
  <si>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</si>
  <si>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</si>
  <si>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</si>
  <si>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</si>
  <si>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</si>
  <si>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</si>
  <si>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</si>
  <si>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</si>
  <si>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</si>
  <si>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</si>
  <si>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</si>
  <si>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</si>
  <si>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</si>
  <si>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</si>
  <si>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</si>
  <si>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</si>
  <si>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</si>
  <si>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</si>
  <si>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</si>
  <si>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</si>
  <si>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</si>
  <si>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</si>
  <si>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</si>
  <si>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</si>
  <si>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</si>
  <si>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</si>
  <si>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</si>
  <si>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</si>
  <si>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</si>
  <si>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</si>
  <si>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</si>
  <si>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</si>
  <si>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</si>
  <si>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</si>
  <si>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</si>
  <si>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</si>
  <si>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</si>
  <si>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</si>
  <si>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</si>
  <si>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</si>
  <si>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</si>
  <si>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</si>
  <si>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</si>
  <si>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</si>
  <si>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</si>
  <si>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</si>
  <si>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</si>
  <si>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</si>
  <si>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</si>
  <si>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</si>
  <si>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</si>
  <si>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</si>
  <si>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</si>
  <si>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</si>
  <si>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</si>
  <si>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</si>
  <si>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</si>
  <si>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</si>
  <si>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</si>
  <si>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</si>
  <si>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</si>
  <si>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</si>
  <si>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</si>
  <si>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</si>
  <si>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</si>
  <si>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</si>
  <si>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</si>
  <si>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</si>
  <si>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</si>
  <si>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</si>
  <si>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</si>
  <si>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</si>
  <si>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</si>
  <si>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</si>
  <si>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</si>
  <si>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</si>
  <si>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</si>
  <si>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</si>
  <si>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</si>
  <si>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</si>
  <si>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</si>
  <si>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</si>
  <si>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</si>
  <si>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</si>
  <si>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</si>
  <si>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</si>
  <si>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</si>
  <si>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</si>
  <si>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</si>
  <si>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</si>
  <si>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</si>
  <si>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</si>
  <si>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</si>
  <si>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</si>
  <si>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</si>
  <si>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</si>
  <si>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</si>
  <si>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</si>
  <si>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</si>
  <si>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</si>
  <si>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</si>
  <si>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</si>
  <si>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</si>
  <si>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</si>
  <si>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</si>
  <si>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</si>
  <si>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</si>
  <si>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</si>
  <si>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</si>
  <si>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</si>
  <si>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</si>
  <si>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</si>
  <si>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</si>
  <si>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</si>
  <si>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</si>
  <si>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</si>
  <si>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</si>
  <si>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</si>
  <si>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</si>
  <si>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</si>
  <si>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</si>
  <si>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</si>
  <si>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</si>
  <si>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</si>
  <si>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</si>
  <si>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</si>
  <si>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</si>
  <si>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</si>
  <si>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</si>
  <si>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</si>
  <si>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</si>
  <si>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</si>
  <si>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</si>
  <si>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</si>
  <si>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</si>
  <si>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</si>
  <si>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</si>
  <si>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</si>
  <si>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</si>
  <si>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</si>
  <si>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</si>
  <si>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</si>
  <si>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</si>
  <si>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</si>
  <si>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</si>
  <si>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</si>
  <si>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</si>
  <si>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</si>
  <si>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</si>
  <si>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</si>
  <si>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</si>
  <si>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</si>
  <si>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</si>
  <si>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</si>
  <si>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</si>
  <si>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</si>
  <si>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</si>
  <si>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</si>
  <si>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</si>
  <si>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</si>
  <si>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</si>
  <si>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</si>
  <si>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</si>
  <si>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</si>
  <si>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</si>
  <si>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</si>
  <si>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</si>
  <si>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</si>
  <si>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</si>
  <si>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</si>
  <si>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</si>
  <si>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</si>
  <si>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</si>
  <si>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</si>
  <si>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</si>
  <si>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</si>
  <si>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</si>
  <si>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</si>
  <si>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</si>
  <si>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</si>
  <si>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</si>
  <si>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</si>
  <si>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</si>
  <si>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</si>
  <si>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</si>
  <si>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</si>
  <si>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</si>
  <si>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</si>
  <si>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</si>
  <si>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</si>
  <si>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</si>
  <si>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</si>
  <si>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</si>
  <si>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</si>
  <si>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</si>
  <si>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</si>
  <si>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</si>
  <si>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</si>
  <si>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</si>
  <si>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</si>
  <si>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</si>
  <si>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</si>
  <si>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</si>
  <si>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</si>
  <si>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</si>
  <si>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</si>
  <si>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</si>
  <si>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</si>
  <si>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</si>
  <si>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</si>
  <si>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</si>
  <si>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</si>
  <si>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</si>
  <si>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</si>
  <si>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</si>
  <si>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</si>
  <si>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</si>
  <si>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</si>
  <si>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</si>
  <si>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</si>
  <si>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</si>
  <si>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</si>
  <si>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</si>
  <si>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</si>
  <si>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</si>
  <si>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</si>
  <si>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</si>
  <si>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</si>
  <si>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</si>
  <si>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</si>
  <si>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</si>
  <si>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</si>
  <si>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</si>
  <si>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</si>
  <si>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</si>
  <si>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</si>
  <si>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</si>
  <si>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</si>
  <si>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</si>
  <si>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</si>
  <si>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</si>
  <si>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</si>
  <si>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</si>
  <si>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</si>
  <si>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</si>
  <si>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</si>
  <si>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</si>
  <si>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</si>
  <si>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</si>
  <si>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</si>
  <si>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</si>
  <si>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</si>
  <si>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</si>
  <si>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</si>
  <si>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</si>
  <si>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</si>
  <si>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</si>
  <si>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</si>
  <si>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</si>
  <si>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</si>
  <si>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</si>
  <si>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</si>
  <si>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</si>
  <si>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</si>
  <si>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</si>
  <si>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</si>
  <si>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</si>
  <si>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</si>
  <si>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</si>
  <si>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</si>
  <si>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</si>
  <si>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</si>
  <si>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</si>
  <si>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</si>
  <si>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</si>
  <si>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</si>
  <si>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</si>
  <si>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</si>
  <si>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</si>
  <si>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</si>
  <si>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</si>
  <si>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</si>
  <si>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</si>
  <si>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</si>
  <si>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</si>
  <si>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</si>
  <si>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</si>
  <si>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</si>
  <si>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</si>
  <si>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</si>
  <si>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</si>
  <si>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</si>
  <si>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</si>
  <si>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</si>
  <si>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</si>
  <si>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</si>
  <si>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</si>
  <si>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</si>
  <si>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</si>
  <si>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</si>
  <si>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</si>
  <si>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</si>
  <si>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</si>
  <si>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</si>
  <si>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</si>
  <si>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</si>
  <si>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</si>
  <si>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</si>
  <si>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</si>
  <si>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</si>
  <si>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</si>
  <si>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</si>
  <si>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</si>
  <si>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</si>
  <si>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</si>
  <si>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</si>
  <si>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</si>
  <si>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</si>
  <si>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</si>
  <si>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</si>
  <si>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</si>
  <si>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</si>
  <si>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</si>
  <si>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</si>
  <si>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</si>
  <si>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</si>
  <si>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</si>
  <si>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</si>
  <si>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</si>
  <si>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</si>
  <si>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</si>
  <si>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</si>
  <si>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</si>
  <si>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</si>
  <si>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</si>
  <si>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</si>
  <si>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</si>
  <si>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</si>
  <si>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</si>
  <si>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</si>
  <si>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</si>
  <si>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</si>
  <si>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</si>
  <si>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</si>
  <si>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</si>
  <si>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</si>
  <si>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</si>
  <si>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</si>
  <si>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</si>
  <si>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</si>
  <si>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</si>
  <si>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</si>
  <si>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</si>
  <si>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</si>
  <si>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</si>
  <si>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</si>
  <si>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</si>
  <si>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</si>
  <si>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</si>
  <si>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</si>
  <si>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</si>
  <si>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</si>
  <si>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</si>
  <si>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</si>
  <si>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</si>
  <si>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</si>
  <si>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</si>
  <si>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</si>
  <si>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</si>
  <si>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</si>
  <si>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</si>
  <si>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</si>
  <si>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</si>
  <si>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</si>
  <si>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</si>
  <si>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</si>
  <si>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</si>
  <si>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</si>
  <si>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</si>
  <si>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</si>
  <si>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</si>
  <si>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</si>
  <si>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</si>
  <si>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</si>
  <si>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</si>
  <si>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</si>
  <si>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</si>
  <si>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</si>
  <si>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</si>
  <si>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</si>
  <si>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</si>
  <si>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</si>
  <si>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</si>
  <si>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</si>
  <si>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</si>
  <si>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</si>
  <si>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</si>
  <si>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</si>
  <si>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</si>
  <si>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</si>
  <si>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</si>
  <si>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</si>
  <si>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</si>
  <si>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</si>
  <si>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</si>
  <si>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</si>
  <si>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</si>
  <si>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</si>
  <si>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</si>
  <si>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</si>
  <si>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</si>
  <si>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</si>
  <si>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</si>
  <si>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</si>
  <si>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</si>
  <si>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</si>
  <si>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</si>
  <si>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</si>
  <si>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</si>
  <si>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</si>
  <si>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</si>
  <si>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</si>
  <si>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</si>
  <si>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</si>
  <si>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</si>
  <si>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</si>
  <si>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</si>
  <si>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</si>
  <si>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</si>
  <si>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</si>
  <si>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</si>
  <si>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</si>
  <si>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</si>
  <si>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</si>
  <si>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</si>
  <si>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</si>
  <si>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</si>
  <si>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</si>
  <si>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</si>
  <si>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</si>
  <si>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</si>
  <si>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</si>
  <si>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</si>
  <si>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</si>
  <si>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</si>
  <si>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</si>
  <si>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</si>
  <si>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</si>
  <si>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</si>
  <si>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</si>
  <si>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</si>
  <si>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</si>
  <si>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</si>
  <si>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</si>
  <si>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</si>
  <si>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</si>
  <si>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</si>
  <si>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</si>
  <si>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</si>
  <si>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</si>
  <si>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</si>
  <si>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</si>
  <si>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</si>
  <si>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</si>
  <si>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</si>
  <si>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</si>
  <si>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</si>
  <si>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</si>
  <si>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</si>
  <si>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</si>
  <si>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</si>
  <si>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</si>
  <si>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</si>
  <si>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</si>
  <si>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</si>
  <si>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</si>
  <si>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</si>
  <si>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</si>
  <si>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</si>
  <si>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</si>
  <si>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</si>
  <si>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</si>
  <si>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</si>
  <si>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</si>
  <si>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</si>
  <si>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</si>
  <si>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</si>
  <si>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</si>
  <si>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</si>
  <si>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</si>
  <si>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</si>
  <si>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</si>
  <si>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</si>
  <si>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</si>
  <si>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</si>
  <si>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</si>
  <si>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</si>
  <si>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</si>
  <si>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</si>
  <si>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</si>
  <si>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</si>
  <si>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</si>
  <si>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</si>
  <si>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</si>
  <si>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</si>
  <si>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</si>
  <si>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</si>
  <si>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</si>
  <si>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</si>
  <si>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</si>
  <si>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</si>
  <si>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</si>
  <si>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</si>
  <si>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</si>
  <si>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</si>
  <si>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</si>
  <si>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</si>
  <si>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</si>
  <si>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</si>
  <si>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</si>
  <si>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</si>
  <si>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</si>
  <si>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</si>
  <si>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</si>
  <si>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</si>
  <si>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</si>
  <si>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</si>
  <si>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</si>
  <si>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</si>
  <si>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</si>
  <si>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</si>
  <si>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</si>
  <si>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</si>
  <si>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</si>
  <si>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</si>
  <si>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</si>
  <si>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</si>
  <si>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</si>
  <si>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</si>
  <si>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</si>
  <si>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</si>
  <si>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</si>
  <si>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</si>
  <si>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</si>
  <si>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</si>
  <si>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</si>
  <si>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</si>
  <si>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</si>
  <si>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</si>
  <si>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</si>
  <si>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</si>
  <si>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</si>
  <si>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</si>
  <si>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</si>
  <si>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</si>
  <si>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</si>
  <si>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</si>
  <si>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</si>
  <si>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</si>
  <si>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</si>
  <si>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</si>
  <si>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</si>
  <si>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</si>
  <si>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</si>
  <si>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</si>
  <si>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</si>
  <si>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</si>
  <si>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</si>
  <si>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</si>
  <si>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</si>
  <si>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</si>
  <si>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</si>
  <si>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</si>
  <si>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</si>
  <si>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</si>
  <si>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</si>
  <si>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</si>
  <si>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</si>
  <si>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</si>
  <si>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</si>
  <si>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</si>
  <si>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</si>
  <si>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</si>
  <si>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</si>
  <si>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</si>
  <si>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</si>
  <si>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</si>
  <si>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</si>
  <si>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</si>
  <si>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</si>
  <si>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</si>
  <si>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</si>
  <si>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</si>
  <si>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</si>
  <si>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</si>
  <si>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</si>
  <si>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</si>
  <si>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</si>
  <si>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</si>
  <si>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</si>
  <si>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</si>
  <si>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</si>
  <si>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</si>
  <si>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</si>
  <si>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</si>
  <si>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</si>
  <si>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</si>
  <si>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</si>
  <si>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</si>
  <si>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</si>
  <si>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</si>
  <si>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</si>
  <si>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</si>
  <si>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</si>
  <si>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</si>
  <si>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</si>
  <si>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</si>
  <si>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</si>
  <si>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</si>
  <si>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</si>
  <si>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</si>
  <si>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</si>
  <si>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</si>
  <si>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</si>
  <si>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</si>
  <si>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</si>
  <si>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</si>
  <si>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</si>
  <si>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</si>
  <si>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</si>
  <si>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</si>
  <si>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</si>
  <si>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</si>
  <si>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</si>
  <si>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</si>
  <si>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</si>
  <si>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</si>
  <si>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</si>
  <si>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</si>
  <si>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</si>
  <si>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</si>
  <si>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</si>
  <si>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</si>
  <si>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</si>
  <si>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</si>
  <si>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</si>
  <si>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</si>
  <si>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</si>
  <si>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</si>
  <si>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</si>
  <si>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</si>
  <si>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row</t>
  </si>
  <si>
    <t>call</t>
  </si>
  <si>
    <t>amount</t>
  </si>
  <si>
    <t>sel call</t>
  </si>
  <si>
    <t>sel amount</t>
  </si>
  <si>
    <t>selected rep</t>
  </si>
  <si>
    <t>Column Labels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</si>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</sst>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mmm\-yy;@"/>
    <numFmt numFmtId="165" formatCode="\$#,##0;\(\$#,##0\);\$#,##0"/>
    <numFmt numFmtId="166" formatCode="&quot;$&quot;#,###.0,&quot;k&quot;"/>
    <numFmt numFmtId="167" formatCode="&quot;$&quot;#,##0"/>
  </numFmts>
  <fonts count="7">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theme="1"/>
      <name val="Aptos"/>
      <scheme val="minor"/>
    </font>
    <font>
      <b/>
      <sz val="24"/>
      <color theme="4" tint="-0.249977111117893"/>
      <name val="Aptos"/>
      <scheme val="minor"/>
    </font>
  </fonts>
  <fills count="6">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rgb="FFFF00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4" borderId="0" xfId="0" applyFill="1" applyAlignment="1">
      <alignment horizontal="left"/>
    </xf>
    <xf numFmtId="0" fontId="0" fillId="0" borderId="0" xfId="0" applyAlignment="1">
      <alignment horizontal="left" indent="1"/>
    </xf>
    <xf numFmtId="0" fontId="4" fillId="5" borderId="0" xfId="0" applyFont="1" applyFill="1"/>
    <xf numFmtId="167" fontId="4" fillId="5" borderId="0" xfId="0" applyNumberFormat="1" applyFont="1" applyFill="1"/>
    <xf numFmtId="0" fontId="5" fillId="5" borderId="0" xfId="0" applyFont="1" applyFill="1"/>
    <xf numFmtId="0" fontId="6" fillId="3" borderId="0" xfId="0" applyFont="1" applyFill="1"/>
  </cellXfs>
  <cellStyles count="1">
    <cellStyle name="Normal" xfId="0" builtinId="0"/>
  </cellStyles>
  <dxfs count="24">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9933"/>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F0000"/>
        </patternFill>
      </fill>
    </dxf>
    <dxf>
      <numFmt numFmtId="166" formatCode="&quot;$&quot;#,###.0,&quot;k&quot;"/>
    </dxf>
    <dxf>
      <fill>
        <patternFill>
          <bgColor theme="0"/>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tableStyleElement type="wholeTable" dxfId="23"/>
    </tableStyle>
    <tableStyle name="Slicer Style 2" pivot="0" table="0" count="5">
      <tableStyleElement type="wholeTable" dxfId="22"/>
    </tableStyle>
  </tableStyles>
  <colors>
    <mruColors>
      <color rgb="FFFF9933"/>
      <color rgb="FF7E7C38"/>
      <color rgb="FF997E33"/>
      <color rgb="FF5039B1"/>
      <color rgb="FF47E36C"/>
      <color rgb="FFDF3F1F"/>
      <color rgb="FFFC2424"/>
      <color rgb="FFE68900"/>
      <color rgb="FFC3922F"/>
      <color rgb="FFFF3300"/>
    </mruColors>
  </colors>
  <extLst>
    <ext xmlns:x14="http://schemas.microsoft.com/office/spreadsheetml/2009/9/main" uri="{46F421CA-312F-682f-3DD2-61675219B42D}">
      <x14:dxfs count="4">
        <dxf>
          <fill>
            <patternFill>
              <bgColor theme="0" tint="-0.34998626667073579"/>
            </patternFill>
          </fill>
        </dxf>
        <dxf>
          <fill>
            <patternFill>
              <bgColor rgb="FFFF3300"/>
            </patternFill>
          </fill>
        </dxf>
        <dxf>
          <fill>
            <patternFill>
              <bgColor theme="7" tint="0.79998168889431442"/>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22/10/relationships/richValueRel" Target="richData/richValueRel.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microsoft.com/office/2017/06/relationships/rdRichValue" Target="richData/rdrichvalue.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[Call_Centre_Analytics.xlsx]pivots!monthly</c:name>
    <c:fmtId val="31"/>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b="1">
                <a:solidFill>
                  <a:srgbClr val="C00000"/>
                </a:solidFill>
              </a:rPr>
              <a:t>Call Trend</a:t>
            </a:r>
          </a:p>
        </c:rich>
      </c:tx>
      <c:layout>
        <c:manualLayout>
          <c:xMode val="edge"/>
          <c:yMode val="edge"/>
          <c:x val="2.4189227186801235E-2"/>
          <c:y val="2.79232326572539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gradFill flip="none" rotWithShape="1">
            <a:gsLst>
              <a:gs pos="0">
                <a:srgbClr val="E54311"/>
              </a:gs>
              <a:gs pos="36000">
                <a:srgbClr val="CE3D32"/>
              </a:gs>
              <a:gs pos="66000">
                <a:srgbClr val="F5D3D3"/>
              </a:gs>
              <a:gs pos="100000">
                <a:srgbClr val="EB8075"/>
              </a:gs>
            </a:gsLst>
            <a:lin ang="18900000" scaled="1"/>
            <a:tileRect/>
          </a:gradFill>
          <a:ln>
            <a:solidFill>
              <a:srgbClr val="D43C3C"/>
            </a:solidFill>
          </a:ln>
          <a:effectLst/>
        </c:spPr>
        <c:marker>
          <c:symbol val="none"/>
        </c:marker>
      </c:pivotFmt>
      <c:pivotFmt>
        <c:idx val="5"/>
        <c:spPr>
          <a:ln w="28575" cap="rnd">
            <a:gradFill>
              <a:gsLst>
                <a:gs pos="0">
                  <a:srgbClr val="DA3220"/>
                </a:gs>
                <a:gs pos="74000">
                  <a:srgbClr val="C00000"/>
                </a:gs>
                <a:gs pos="83000">
                  <a:srgbClr val="C00000"/>
                </a:gs>
                <a:gs pos="100000">
                  <a:srgbClr val="C00000"/>
                </a:gs>
              </a:gsLst>
              <a:lin ang="5400000" scaled="1"/>
            </a:gradFill>
            <a:round/>
          </a:ln>
          <a:effectLst/>
        </c:spPr>
        <c:marker>
          <c:symbol val="circle"/>
          <c:size val="7"/>
          <c:spPr>
            <a:solidFill>
              <a:schemeClr val="bg1"/>
            </a:solidFill>
            <a:ln w="9525">
              <a:solidFill>
                <a:schemeClr val="tx1"/>
              </a:solidFill>
            </a:ln>
            <a:effectLst/>
          </c:spPr>
        </c:marker>
      </c:pivotFmt>
    </c:pivotFmts>
    <c:plotArea>
      <c:layout/>
      <c:areaChart>
        <c:grouping val="standard"/>
        <c:varyColors val="0"/>
        <c:ser>
          <c:idx val="1"/>
          <c:order val="1"/>
          <c:tx>
            <c:strRef>
              <c:f>pivots!$C$23</c:f>
              <c:strCache>
                <c:ptCount val="1"/>
                <c:pt idx="0">
                  <c:v>call count2</c:v>
                </c:pt>
              </c:strCache>
            </c:strRef>
          </c:tx>
          <c:spPr>
            <a:gradFill flip="none" rotWithShape="1">
              <a:gsLst>
                <a:gs pos="0">
                  <a:srgbClr val="E54311"/>
                </a:gs>
                <a:gs pos="36000">
                  <a:srgbClr val="CE3D32"/>
                </a:gs>
                <a:gs pos="66000">
                  <a:srgbClr val="F5D3D3"/>
                </a:gs>
                <a:gs pos="100000">
                  <a:srgbClr val="EB8075"/>
                </a:gs>
              </a:gsLst>
              <a:lin ang="18900000" scaled="1"/>
              <a:tileRect/>
            </a:gradFill>
            <a:ln>
              <a:solidFill>
                <a:srgbClr val="D43C3C"/>
              </a:solidFill>
            </a:ln>
            <a:effectLst/>
          </c:spPr>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pivots!$C$24:$C$36</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7AD8-4E9F-97BE-859D6E9CC9C9}"/>
            </c:ext>
          </c:extLst>
        </c:ser>
        <c:dLbls>
          <c:showLegendKey val="0"/>
          <c:showVal val="0"/>
          <c:showCatName val="0"/>
          <c:showSerName val="0"/>
          <c:showPercent val="0"/>
          <c:showBubbleSize val="0"/>
        </c:dLbls>
        <c:axId val="323398104"/>
        <c:axId val="323401384"/>
      </c:areaChart>
      <c:lineChart>
        <c:grouping val="standard"/>
        <c:varyColors val="0"/>
        <c:ser>
          <c:idx val="0"/>
          <c:order val="0"/>
          <c:tx>
            <c:strRef>
              <c:f>pivots!$B$23</c:f>
              <c:strCache>
                <c:ptCount val="1"/>
                <c:pt idx="0">
                  <c:v>call count</c:v>
                </c:pt>
              </c:strCache>
            </c:strRef>
          </c:tx>
          <c:spPr>
            <a:ln w="28575" cap="rnd">
              <a:gradFill>
                <a:gsLst>
                  <a:gs pos="0">
                    <a:srgbClr val="DA3220"/>
                  </a:gs>
                  <a:gs pos="74000">
                    <a:srgbClr val="C00000"/>
                  </a:gs>
                  <a:gs pos="83000">
                    <a:srgbClr val="C00000"/>
                  </a:gs>
                  <a:gs pos="100000">
                    <a:srgbClr val="C00000"/>
                  </a:gs>
                </a:gsLst>
                <a:lin ang="5400000" scaled="1"/>
              </a:gradFill>
              <a:round/>
            </a:ln>
            <a:effectLst/>
          </c:spPr>
          <c:marker>
            <c:symbol val="circle"/>
            <c:size val="7"/>
            <c:spPr>
              <a:solidFill>
                <a:schemeClr val="bg1"/>
              </a:solidFill>
              <a:ln w="9525">
                <a:solidFill>
                  <a:schemeClr val="tx1"/>
                </a:solidFill>
              </a:ln>
              <a:effectLst/>
            </c:spPr>
          </c:marker>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pivots!$B$24:$B$36</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7AD8-4E9F-97BE-859D6E9CC9C9}"/>
            </c:ext>
          </c:extLst>
        </c:ser>
        <c:dLbls>
          <c:showLegendKey val="0"/>
          <c:showVal val="0"/>
          <c:showCatName val="0"/>
          <c:showSerName val="0"/>
          <c:showPercent val="0"/>
          <c:showBubbleSize val="0"/>
        </c:dLbls>
        <c:marker val="1"/>
        <c:smooth val="0"/>
        <c:axId val="323398104"/>
        <c:axId val="323401384"/>
      </c:lineChart>
      <c:catAx>
        <c:axId val="32339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401384"/>
        <c:crosses val="autoZero"/>
        <c:auto val="1"/>
        <c:lblAlgn val="ctr"/>
        <c:lblOffset val="100"/>
        <c:noMultiLvlLbl val="0"/>
      </c:catAx>
      <c:valAx>
        <c:axId val="323401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98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[Call_Centre_Analytics.xlsx]pivots!weakly</c:name>
    <c:fmtId val="5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A02F0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pivots!$I$23</c:f>
              <c:strCache>
                <c:ptCount val="1"/>
                <c:pt idx="0">
                  <c:v>Total</c:v>
                </c:pt>
              </c:strCache>
            </c:strRef>
          </c:tx>
          <c:spPr>
            <a:solidFill>
              <a:srgbClr val="A02F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pivots!$H$24:$H$31</c:f>
              <c:strCache>
                <c:ptCount val="7"/>
                <c:pt idx="0">
                  <c:v>Sunday</c:v>
                </c:pt>
                <c:pt idx="1">
                  <c:v>Monday</c:v>
                </c:pt>
                <c:pt idx="2">
                  <c:v>Tuesday</c:v>
                </c:pt>
                <c:pt idx="3">
                  <c:v>Wednesday</c:v>
                </c:pt>
                <c:pt idx="4">
                  <c:v>Thursday</c:v>
                </c:pt>
                <c:pt idx="5">
                  <c:v>Friday</c:v>
                </c:pt>
                <c:pt idx="6">
                  <c:v>Saturday</c:v>
                </c:pt>
              </c:strCache>
            </c:strRef>
          </c:cat>
          <c:val>
            <c:numRef>
              <c:f>pivots!$I$24:$I$31</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BCB6-4BBA-B29C-58179663054A}"/>
            </c:ext>
          </c:extLst>
        </c:ser>
        <c:dLbls>
          <c:dLblPos val="outEnd"/>
          <c:showLegendKey val="0"/>
          <c:showVal val="1"/>
          <c:showCatName val="0"/>
          <c:showSerName val="0"/>
          <c:showPercent val="0"/>
          <c:showBubbleSize val="0"/>
        </c:dLbls>
        <c:gapWidth val="30"/>
        <c:axId val="634191776"/>
        <c:axId val="634195384"/>
      </c:barChart>
      <c:catAx>
        <c:axId val="634191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95384"/>
        <c:crosses val="autoZero"/>
        <c:auto val="1"/>
        <c:lblAlgn val="ctr"/>
        <c:lblOffset val="100"/>
        <c:noMultiLvlLbl val="0"/>
      </c:catAx>
      <c:valAx>
        <c:axId val="634195384"/>
        <c:scaling>
          <c:orientation val="minMax"/>
        </c:scaling>
        <c:delete val="1"/>
        <c:axPos val="b"/>
        <c:numFmt formatCode="#,##0" sourceLinked="1"/>
        <c:majorTickMark val="out"/>
        <c:minorTickMark val="none"/>
        <c:tickLblPos val="nextTo"/>
        <c:crossAx val="634191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Calls</a:t>
            </a:r>
          </a:p>
        </c:rich>
      </c:tx>
      <c:layout>
        <c:manualLayout>
          <c:xMode val="edge"/>
          <c:yMode val="edge"/>
          <c:x val="7.0048030739673389E-2"/>
          <c:y val="2.807016923438723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541591199405159"/>
          <c:y val="0.16712962962962963"/>
          <c:w val="0.84097640337330715"/>
          <c:h val="0.73111111111111116"/>
        </c:manualLayout>
      </c:layout>
      <c:barChart>
        <c:barDir val="bar"/>
        <c:grouping val="clustered"/>
        <c:varyColors val="0"/>
        <c:ser>
          <c:idx val="0"/>
          <c:order val="0"/>
          <c:spPr>
            <a:solidFill>
              <a:schemeClr val="bg2">
                <a:lumMod val="9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pivots!$E$52:$E$56</c:f>
              <c:strCache>
                <c:ptCount val="5"/>
                <c:pt idx="0">
                  <c:v>R01</c:v>
                </c:pt>
                <c:pt idx="1">
                  <c:v>R02</c:v>
                </c:pt>
                <c:pt idx="2">
                  <c:v>R03</c:v>
                </c:pt>
                <c:pt idx="3">
                  <c:v>R04</c:v>
                </c:pt>
                <c:pt idx="4">
                  <c:v>R05</c:v>
                </c:pt>
              </c:strCache>
            </c:strRef>
          </c:cat>
          <c:val>
            <c:numRef>
              <c:f>pivots!$F$52:$F$56</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D8D-4420-9F3B-028640D84EBE}"/>
            </c:ext>
          </c:extLst>
        </c:ser>
        <c:ser>
          <c:idx val="1"/>
          <c:order val="1"/>
          <c:tx>
            <c:strRef>
              <c:f>pivots!$H$51</c:f>
              <c:strCache>
                <c:ptCount val="1"/>
                <c:pt idx="0">
                  <c:v>sel call</c:v>
                </c:pt>
              </c:strCache>
            </c:strRef>
          </c:tx>
          <c:spPr>
            <a:gradFill flip="none" rotWithShape="1">
              <a:gsLst>
                <a:gs pos="0">
                  <a:srgbClr val="FF0000"/>
                </a:gs>
                <a:gs pos="100000">
                  <a:srgbClr val="EC6940"/>
                </a:gs>
                <a:gs pos="94000">
                  <a:srgbClr val="EE8936"/>
                </a:gs>
                <a:gs pos="100000">
                  <a:srgbClr val="FF0000"/>
                </a:gs>
              </a:gsLst>
              <a:lin ang="5400000" scaled="1"/>
              <a:tileRect/>
            </a:gradFill>
            <a:ln>
              <a:noFill/>
            </a:ln>
            <a:effectLst/>
          </c:spPr>
          <c:invertIfNegative val="0"/>
          <c:dLbls>
            <c:delete val="1"/>
          </c:dLbls>
          <c:val>
            <c:numRef>
              <c:f>pivots!$H$52:$H$56</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CD8D-4420-9F3B-028640D84EBE}"/>
            </c:ext>
          </c:extLst>
        </c:ser>
        <c:dLbls>
          <c:dLblPos val="outEnd"/>
          <c:showLegendKey val="0"/>
          <c:showVal val="1"/>
          <c:showCatName val="0"/>
          <c:showSerName val="0"/>
          <c:showPercent val="0"/>
          <c:showBubbleSize val="0"/>
        </c:dLbls>
        <c:gapWidth val="25"/>
        <c:overlap val="100"/>
        <c:axId val="410316864"/>
        <c:axId val="410319488"/>
      </c:barChart>
      <c:catAx>
        <c:axId val="41031686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19488"/>
        <c:crosses val="autoZero"/>
        <c:auto val="1"/>
        <c:lblAlgn val="ctr"/>
        <c:lblOffset val="100"/>
        <c:noMultiLvlLbl val="0"/>
      </c:catAx>
      <c:valAx>
        <c:axId val="410319488"/>
        <c:scaling>
          <c:orientation val="minMax"/>
          <c:min val="0"/>
        </c:scaling>
        <c:delete val="1"/>
        <c:axPos val="t"/>
        <c:numFmt formatCode="#,##0" sourceLinked="1"/>
        <c:majorTickMark val="out"/>
        <c:minorTickMark val="none"/>
        <c:tickLblPos val="nextTo"/>
        <c:crossAx val="4103168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Amount</a:t>
            </a:r>
          </a:p>
        </c:rich>
      </c:tx>
      <c:layout>
        <c:manualLayout>
          <c:xMode val="edge"/>
          <c:yMode val="edge"/>
          <c:x val="5.0876040494938157E-2"/>
          <c:y val="3.3862452672556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305774278215228E-2"/>
          <c:y val="0.16712962962962963"/>
          <c:w val="0.83884711286089242"/>
          <c:h val="0.73111111111111116"/>
        </c:manualLayout>
      </c:layout>
      <c:barChart>
        <c:barDir val="bar"/>
        <c:grouping val="clustered"/>
        <c:varyColors val="0"/>
        <c:ser>
          <c:idx val="0"/>
          <c:order val="0"/>
          <c:spPr>
            <a:solidFill>
              <a:schemeClr val="bg2">
                <a:lumMod val="90000"/>
              </a:schemeClr>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pivots!$E$52:$E$56</c:f>
              <c:strCache>
                <c:ptCount val="5"/>
                <c:pt idx="0">
                  <c:v>R01</c:v>
                </c:pt>
                <c:pt idx="1">
                  <c:v>R02</c:v>
                </c:pt>
                <c:pt idx="2">
                  <c:v>R03</c:v>
                </c:pt>
                <c:pt idx="3">
                  <c:v>R04</c:v>
                </c:pt>
                <c:pt idx="4">
                  <c:v>R05</c:v>
                </c:pt>
              </c:strCache>
            </c:strRef>
          </c:cat>
          <c:val>
            <c:numRef>
              <c:f>pivots!$G$52:$G$56</c:f>
              <c:numCache>
                <c:formatCode>\$#,##0;\(\$#,##0\);\$#,##0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71B-4C4A-94DF-27BD765E2026}"/>
            </c:ext>
          </c:extLst>
        </c:ser>
        <c:ser>
          <c:idx val="1"/>
          <c:order val="1"/>
          <c:tx>
            <c:strRef>
              <c:f>pivots!$I$51</c:f>
              <c:strCache>
                <c:ptCount val="1"/>
                <c:pt idx="0">
                  <c:v>sel amount</c:v>
                </c:pt>
              </c:strCache>
            </c:strRef>
          </c:tx>
          <c:spPr>
            <a:gradFill>
              <a:gsLst>
                <a:gs pos="0">
                  <a:srgbClr val="FF0000"/>
                </a:gs>
                <a:gs pos="100000">
                  <a:srgbClr val="EC6940"/>
                </a:gs>
                <a:gs pos="94000">
                  <a:srgbClr val="EE8936"/>
                </a:gs>
                <a:gs pos="100000">
                  <a:srgbClr val="FF0000"/>
                </a:gs>
              </a:gsLst>
              <a:lin ang="5400000" scaled="1"/>
            </a:gradFill>
            <a:ln>
              <a:noFill/>
            </a:ln>
            <a:effectLst/>
          </c:spPr>
          <c:invertIfNegative val="0"/>
          <c:val>
            <c:numRef>
              <c:f>pivots!$I$52:$I$56</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371B-4C4A-94DF-27BD765E2026}"/>
            </c:ext>
          </c:extLst>
        </c:ser>
        <c:dLbls>
          <c:showLegendKey val="0"/>
          <c:showVal val="0"/>
          <c:showCatName val="0"/>
          <c:showSerName val="0"/>
          <c:showPercent val="0"/>
          <c:showBubbleSize val="0"/>
        </c:dLbls>
        <c:gapWidth val="25"/>
        <c:overlap val="100"/>
        <c:axId val="332468640"/>
        <c:axId val="332467656"/>
      </c:barChart>
      <c:catAx>
        <c:axId val="332468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67656"/>
        <c:crosses val="autoZero"/>
        <c:auto val="1"/>
        <c:lblAlgn val="ctr"/>
        <c:lblOffset val="100"/>
        <c:noMultiLvlLbl val="0"/>
      </c:catAx>
      <c:valAx>
        <c:axId val="332467656"/>
        <c:scaling>
          <c:orientation val="minMax"/>
        </c:scaling>
        <c:delete val="1"/>
        <c:axPos val="t"/>
        <c:numFmt formatCode="\$#,##0;\(\$#,##0\);\$#,##0" sourceLinked="1"/>
        <c:majorTickMark val="none"/>
        <c:minorTickMark val="none"/>
        <c:tickLblPos val="nextTo"/>
        <c:crossAx val="3324686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[Call_Centre_Analytics.xlsx]pivots!PivotTable1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Male</a:t>
            </a:r>
            <a:r>
              <a:rPr lang="en-US" baseline="0"/>
              <a:t> vs </a:t>
            </a:r>
            <a:r>
              <a:rPr lang="en-US" b="1" baseline="0">
                <a:solidFill>
                  <a:srgbClr val="92D050"/>
                </a:solidFill>
              </a:rPr>
              <a:t>Female</a:t>
            </a:r>
            <a:r>
              <a:rPr lang="en-US" baseline="0"/>
              <a:t> </a:t>
            </a:r>
            <a:r>
              <a:rPr lang="en-US" b="1" baseline="0">
                <a:solidFill>
                  <a:srgbClr val="C00000"/>
                </a:solidFill>
              </a:rPr>
              <a:t>Callers</a:t>
            </a:r>
            <a:endParaRPr lang="en-US" b="1">
              <a:solidFill>
                <a:srgbClr val="C00000"/>
              </a:solidFill>
            </a:endParaRPr>
          </a:p>
        </c:rich>
      </c:tx>
      <c:layout>
        <c:manualLayout>
          <c:xMode val="edge"/>
          <c:yMode val="edge"/>
          <c:x val="0.20427649791332453"/>
          <c:y val="3.92982369281421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F3F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7E3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F3F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7E3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F3F1F"/>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47E36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pivots!$B$72:$B$73</c:f>
              <c:strCache>
                <c:ptCount val="1"/>
                <c:pt idx="0">
                  <c:v>Female</c:v>
                </c:pt>
              </c:strCache>
            </c:strRef>
          </c:tx>
          <c:spPr>
            <a:solidFill>
              <a:srgbClr val="DF3F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pivots!$A$74:$A$77</c:f>
              <c:strCache>
                <c:ptCount val="3"/>
                <c:pt idx="0">
                  <c:v>Cincinnati</c:v>
                </c:pt>
                <c:pt idx="1">
                  <c:v>Cleveland</c:v>
                </c:pt>
                <c:pt idx="2">
                  <c:v>Columbus</c:v>
                </c:pt>
              </c:strCache>
            </c:strRef>
          </c:cat>
          <c:val>
            <c:numRef>
              <c:f>pivots!$B$74:$B$77</c:f>
              <c:numCache>
                <c:formatCode>#,##0</c:formatCode>
                <c:ptCount val="3"/>
                <c:pt idx="0">
                  <c:v>144</c:v>
                </c:pt>
                <c:pt idx="1">
                  <c:v>326</c:v>
                </c:pt>
                <c:pt idx="2">
                  <c:v>129</c:v>
                </c:pt>
              </c:numCache>
            </c:numRef>
          </c:val>
          <c:extLst>
            <c:ext xmlns:c16="http://schemas.microsoft.com/office/drawing/2014/chart" uri="{C3380CC4-5D6E-409C-BE32-E72D297353CC}">
              <c16:uniqueId val="{00000000-98CB-4DC2-980A-435E92A3E1AC}"/>
            </c:ext>
          </c:extLst>
        </c:ser>
        <c:ser>
          <c:idx val="1"/>
          <c:order val="1"/>
          <c:tx>
            <c:strRef>
              <c:f>pivots!$C$72:$C$73</c:f>
              <c:strCache>
                <c:ptCount val="1"/>
                <c:pt idx="0">
                  <c:v>Male</c:v>
                </c:pt>
              </c:strCache>
            </c:strRef>
          </c:tx>
          <c:spPr>
            <a:solidFill>
              <a:srgbClr val="47E3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pivots!$A$74:$A$77</c:f>
              <c:strCache>
                <c:ptCount val="3"/>
                <c:pt idx="0">
                  <c:v>Cincinnati</c:v>
                </c:pt>
                <c:pt idx="1">
                  <c:v>Cleveland</c:v>
                </c:pt>
                <c:pt idx="2">
                  <c:v>Columbus</c:v>
                </c:pt>
              </c:strCache>
            </c:strRef>
          </c:cat>
          <c:val>
            <c:numRef>
              <c:f>pivots!$C$74:$C$77</c:f>
              <c:numCache>
                <c:formatCode>#,##0</c:formatCode>
                <c:ptCount val="3"/>
                <c:pt idx="0">
                  <c:v>132</c:v>
                </c:pt>
                <c:pt idx="1">
                  <c:v>63</c:v>
                </c:pt>
                <c:pt idx="2">
                  <c:v>206</c:v>
                </c:pt>
              </c:numCache>
            </c:numRef>
          </c:val>
          <c:extLst>
            <c:ext xmlns:c16="http://schemas.microsoft.com/office/drawing/2014/chart" uri="{C3380CC4-5D6E-409C-BE32-E72D297353CC}">
              <c16:uniqueId val="{00000001-98CB-4DC2-980A-435E92A3E1AC}"/>
            </c:ext>
          </c:extLst>
        </c:ser>
        <c:dLbls>
          <c:dLblPos val="ctr"/>
          <c:showLegendKey val="0"/>
          <c:showVal val="1"/>
          <c:showCatName val="0"/>
          <c:showSerName val="0"/>
          <c:showPercent val="0"/>
          <c:showBubbleSize val="0"/>
        </c:dLbls>
        <c:gapWidth val="47"/>
        <c:overlap val="100"/>
        <c:axId val="322431152"/>
        <c:axId val="322431808"/>
      </c:barChart>
      <c:catAx>
        <c:axId val="32243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31808"/>
        <c:crosses val="autoZero"/>
        <c:auto val="1"/>
        <c:lblAlgn val="ctr"/>
        <c:lblOffset val="100"/>
        <c:noMultiLvlLbl val="0"/>
      </c:catAx>
      <c:valAx>
        <c:axId val="322431808"/>
        <c:scaling>
          <c:orientation val="minMax"/>
        </c:scaling>
        <c:delete val="1"/>
        <c:axPos val="l"/>
        <c:numFmt formatCode="0%" sourceLinked="1"/>
        <c:majorTickMark val="out"/>
        <c:minorTickMark val="none"/>
        <c:tickLblPos val="nextTo"/>
        <c:crossAx val="322431152"/>
        <c:crosses val="autoZero"/>
        <c:crossBetween val="between"/>
      </c:valAx>
      <c:spPr>
        <a:noFill/>
        <a:ln>
          <a:noFill/>
        </a:ln>
        <a:effectLst>
          <a:glow rad="63500">
            <a:schemeClr val="accent1">
              <a:satMod val="175000"/>
              <a:alpha val="40000"/>
            </a:schemeClr>
          </a:glo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50800">
        <a:schemeClr val="accent2">
          <a:lumMod val="60000"/>
          <a:lumOff val="40000"/>
          <a:alpha val="44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[Call_Centre_Analytics.xlsx]pivots!rating repo</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E7C38"/>
                </a:solidFill>
              </a:rPr>
              <a:t>Ratings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7E7C38"/>
          </a:solidFill>
          <a:ln>
            <a:noFill/>
          </a:ln>
          <a:effectLst/>
        </c:spPr>
      </c:pivotFmt>
      <c:pivotFmt>
        <c:idx val="2"/>
        <c:spPr>
          <a:solidFill>
            <a:srgbClr val="7E7C38"/>
          </a:solidFill>
          <a:ln>
            <a:noFill/>
          </a:ln>
          <a:effectLst/>
        </c:spPr>
        <c:marker>
          <c:symbol val="none"/>
        </c:marker>
      </c:pivotFmt>
      <c:pivotFmt>
        <c:idx val="3"/>
        <c:spPr>
          <a:solidFill>
            <a:srgbClr val="7E7C38"/>
          </a:solidFill>
          <a:ln>
            <a:noFill/>
          </a:ln>
          <a:effectLst/>
        </c:spPr>
        <c:marker>
          <c:symbol val="none"/>
        </c:marker>
      </c:pivotFmt>
    </c:pivotFmts>
    <c:plotArea>
      <c:layout/>
      <c:barChart>
        <c:barDir val="col"/>
        <c:grouping val="clustered"/>
        <c:varyColors val="0"/>
        <c:ser>
          <c:idx val="0"/>
          <c:order val="0"/>
          <c:tx>
            <c:strRef>
              <c:f>pivots!$B$83</c:f>
              <c:strCache>
                <c:ptCount val="1"/>
                <c:pt idx="0">
                  <c:v>Total</c:v>
                </c:pt>
              </c:strCache>
            </c:strRef>
          </c:tx>
          <c:spPr>
            <a:solidFill>
              <a:srgbClr val="7E7C38"/>
            </a:solidFill>
            <a:ln>
              <a:noFill/>
            </a:ln>
            <a:effectLst/>
          </c:spPr>
          <c:invertIfNegative val="0"/>
          <c:cat>
            <c:strRef>
              <c:f>pivots!$A$84:$A$90</c:f>
              <c:strCache>
                <c:ptCount val="6"/>
                <c:pt idx="0">
                  <c:v>0</c:v>
                </c:pt>
                <c:pt idx="1">
                  <c:v>1</c:v>
                </c:pt>
                <c:pt idx="2">
                  <c:v>2</c:v>
                </c:pt>
                <c:pt idx="3">
                  <c:v>3</c:v>
                </c:pt>
                <c:pt idx="4">
                  <c:v>4</c:v>
                </c:pt>
                <c:pt idx="5">
                  <c:v>5</c:v>
                </c:pt>
              </c:strCache>
            </c:strRef>
          </c:cat>
          <c:val>
            <c:numRef>
              <c:f>pivots!$B$84:$B$90</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B834-4783-A5FE-68DBC2AD5E37}"/>
            </c:ext>
          </c:extLst>
        </c:ser>
        <c:dLbls>
          <c:showLegendKey val="0"/>
          <c:showVal val="0"/>
          <c:showCatName val="0"/>
          <c:showSerName val="0"/>
          <c:showPercent val="0"/>
          <c:showBubbleSize val="0"/>
        </c:dLbls>
        <c:gapWidth val="35"/>
        <c:overlap val="-27"/>
        <c:axId val="394788952"/>
        <c:axId val="394781736"/>
      </c:barChart>
      <c:catAx>
        <c:axId val="394788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81736"/>
        <c:crosses val="autoZero"/>
        <c:auto val="1"/>
        <c:lblAlgn val="ctr"/>
        <c:lblOffset val="100"/>
        <c:noMultiLvlLbl val="0"/>
      </c:catAx>
      <c:valAx>
        <c:axId val="39478173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88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50800">
        <a:schemeClr val="accent2">
          <a:lumMod val="60000"/>
          <a:lumOff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3" Type="http://schemas.openxmlformats.org/officeDocument/2006/relationships/image" Target="../media/image17.svg"/><Relationship Id="rId18" Type="http://schemas.openxmlformats.org/officeDocument/2006/relationships/chart" Target="../charts/chart3.xml"/><Relationship Id="rId21" Type="http://schemas.openxmlformats.org/officeDocument/2006/relationships/chart" Target="../charts/chart6.xml"/><Relationship Id="rId12" Type="http://schemas.openxmlformats.org/officeDocument/2006/relationships/image" Target="../media/image3.png"/><Relationship Id="rId17"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1.png"/><Relationship Id="rId11" Type="http://schemas.openxmlformats.org/officeDocument/2006/relationships/image" Target="../media/image2.png"/><Relationship Id="rId6" Type="http://schemas.openxmlformats.org/officeDocument/2006/relationships/image" Target="../media/image11.svg"/><Relationship Id="rId15" Type="http://schemas.openxmlformats.org/officeDocument/2006/relationships/image" Target="../media/image5.png"/><Relationship Id="rId10" Type="http://schemas.openxmlformats.org/officeDocument/2006/relationships/image" Target="../media/image15.svg"/><Relationship Id="rId19" Type="http://schemas.openxmlformats.org/officeDocument/2006/relationships/chart" Target="../charts/chart4.xml"/><Relationship Id="rId14" Type="http://schemas.openxmlformats.org/officeDocument/2006/relationships/image" Target="../media/image4.png"/><Relationship Id="rId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7</xdr:col>
      <xdr:colOff>180975</xdr:colOff>
      <xdr:row>3</xdr:row>
      <xdr:rowOff>133350</xdr:rowOff>
    </xdr:from>
    <xdr:to>
      <xdr:col>9</xdr:col>
      <xdr:colOff>28575</xdr:colOff>
      <xdr:row>13</xdr:row>
      <xdr:rowOff>104775</xdr:rowOff>
    </xdr:to>
    <mc:AlternateContent xmlns:mc="http://schemas.openxmlformats.org/markup-compatibility/2006" xmlns:a14="http://schemas.microsoft.com/office/drawing/2010/main">
      <mc:Choice Requires="a14">
        <xdr:graphicFrame macro="">
          <xdr:nvGraphicFramePr>
            <xdr:cNvPr id="2" name="Representative"/>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667375" y="676275"/>
              <a:ext cx="15621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240031</xdr:colOff>
      <xdr:row>4</xdr:row>
      <xdr:rowOff>28574</xdr:rowOff>
    </xdr:from>
    <xdr:to>
      <xdr:col>4</xdr:col>
      <xdr:colOff>47625</xdr:colOff>
      <xdr:row>8</xdr:row>
      <xdr:rowOff>92867</xdr:rowOff>
    </xdr:to>
    <xdr:sp macro="" textlink="pivots!A4">
      <xdr:nvSpPr>
        <xdr:cNvPr id="2" name="Rectangle 1"/>
        <xdr:cNvSpPr/>
      </xdr:nvSpPr>
      <xdr:spPr>
        <a:xfrm>
          <a:off x="430531" y="885824"/>
          <a:ext cx="1188719" cy="778668"/>
        </a:xfrm>
        <a:prstGeom prst="rect">
          <a:avLst/>
        </a:prstGeom>
        <a:solidFill>
          <a:srgbClr val="C00000"/>
        </a:solidFill>
        <a:ln>
          <a:solidFill>
            <a:srgbClr val="002060"/>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293BF77D-B582-4715-A1B5-B9793BC9C536}" type="TxLink">
            <a:rPr lang="en-US" sz="1400" b="1" i="0" u="none" strike="noStrike" cap="none" spc="0">
              <a:ln w="0"/>
              <a:solidFill>
                <a:schemeClr val="bg1"/>
              </a:solidFill>
              <a:effectLst>
                <a:outerShdw blurRad="38100" dist="19050" dir="2700000" algn="tl" rotWithShape="0">
                  <a:schemeClr val="dk1">
                    <a:alpha val="40000"/>
                  </a:schemeClr>
                </a:outerShdw>
              </a:effectLst>
              <a:latin typeface="Aptos"/>
            </a:rPr>
            <a:pPr algn="ctr"/>
            <a:t>1,000</a:t>
          </a:fld>
          <a:endParaRPr lang="en-US"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2</xdr:col>
      <xdr:colOff>590550</xdr:colOff>
      <xdr:row>4</xdr:row>
      <xdr:rowOff>45243</xdr:rowOff>
    </xdr:from>
    <xdr:to>
      <xdr:col>3</xdr:col>
      <xdr:colOff>409575</xdr:colOff>
      <xdr:row>5</xdr:row>
      <xdr:rowOff>92868</xdr:rowOff>
    </xdr:to>
    <xdr:sp macro="" textlink="">
      <xdr:nvSpPr>
        <xdr:cNvPr id="4" name="TextBox 3"/>
        <xdr:cNvSpPr txBox="1"/>
      </xdr:nvSpPr>
      <xdr:spPr>
        <a:xfrm>
          <a:off x="781050" y="902493"/>
          <a:ext cx="509588"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Calls</a:t>
          </a:r>
          <a:endParaRPr lang="en-US" sz="1200" b="1">
            <a:solidFill>
              <a:schemeClr val="bg1"/>
            </a:solidFill>
          </a:endParaRPr>
        </a:p>
      </xdr:txBody>
    </xdr:sp>
    <xdr:clientData/>
  </xdr:twoCellAnchor>
  <xdr:twoCellAnchor editAs="oneCell">
    <xdr:from>
      <xdr:col>2</xdr:col>
      <xdr:colOff>249880</xdr:colOff>
      <xdr:row>5</xdr:row>
      <xdr:rowOff>7259</xdr:rowOff>
    </xdr:from>
    <xdr:to>
      <xdr:col>2</xdr:col>
      <xdr:colOff>566172</xdr:colOff>
      <xdr:row>6</xdr:row>
      <xdr:rowOff>46912</xdr:rowOff>
    </xdr:to>
    <xdr:pic>
      <xdr:nvPicPr>
        <xdr:cNvPr id="5"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10"/>
            </a:ext>
          </a:extLst>
        </a:blip>
        <a:stretch>
          <a:fillRect/>
        </a:stretch>
      </xdr:blipFill>
      <xdr:spPr>
        <a:xfrm rot="1859793">
          <a:off x="440380" y="1043103"/>
          <a:ext cx="316292" cy="218247"/>
        </a:xfrm>
        <a:prstGeom prst="rect">
          <a:avLst/>
        </a:prstGeom>
        <a:noFill/>
      </xdr:spPr>
    </xdr:pic>
    <xdr:clientData/>
  </xdr:twoCellAnchor>
  <xdr:twoCellAnchor>
    <xdr:from>
      <xdr:col>2</xdr:col>
      <xdr:colOff>609600</xdr:colOff>
      <xdr:row>7</xdr:row>
      <xdr:rowOff>28574</xdr:rowOff>
    </xdr:from>
    <xdr:to>
      <xdr:col>3</xdr:col>
      <xdr:colOff>352425</xdr:colOff>
      <xdr:row>8</xdr:row>
      <xdr:rowOff>83342</xdr:rowOff>
    </xdr:to>
    <xdr:sp macro="" textlink="pivots!A12">
      <xdr:nvSpPr>
        <xdr:cNvPr id="6" name="TextBox 5"/>
        <xdr:cNvSpPr txBox="1"/>
      </xdr:nvSpPr>
      <xdr:spPr>
        <a:xfrm>
          <a:off x="800100" y="1421605"/>
          <a:ext cx="433388"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9FD56C-A0B0-46E1-BA1C-C8FB3F36D76A}" type="TxLink">
            <a:rPr lang="en-US" sz="1050" b="0" i="0" u="none" strike="noStrike">
              <a:solidFill>
                <a:schemeClr val="bg1"/>
              </a:solidFill>
              <a:latin typeface="Aptos"/>
            </a:rPr>
            <a:pPr/>
            <a:t>207</a:t>
          </a:fld>
          <a:endParaRPr lang="en-US" sz="1050">
            <a:solidFill>
              <a:schemeClr val="bg1"/>
            </a:solidFill>
          </a:endParaRPr>
        </a:p>
      </xdr:txBody>
    </xdr:sp>
    <xdr:clientData/>
  </xdr:twoCellAnchor>
  <xdr:twoCellAnchor>
    <xdr:from>
      <xdr:col>2</xdr:col>
      <xdr:colOff>211456</xdr:colOff>
      <xdr:row>10</xdr:row>
      <xdr:rowOff>52386</xdr:rowOff>
    </xdr:from>
    <xdr:to>
      <xdr:col>4</xdr:col>
      <xdr:colOff>19050</xdr:colOff>
      <xdr:row>14</xdr:row>
      <xdr:rowOff>116680</xdr:rowOff>
    </xdr:to>
    <xdr:sp macro="" textlink="pivots!B4">
      <xdr:nvSpPr>
        <xdr:cNvPr id="7" name="Rectangle 6"/>
        <xdr:cNvSpPr/>
      </xdr:nvSpPr>
      <xdr:spPr>
        <a:xfrm>
          <a:off x="401956" y="1981199"/>
          <a:ext cx="1188719" cy="778669"/>
        </a:xfrm>
        <a:prstGeom prst="rect">
          <a:avLst/>
        </a:prstGeom>
        <a:solidFill>
          <a:srgbClr val="C00000"/>
        </a:solidFill>
        <a:ln>
          <a:solidFill>
            <a:srgbClr val="002060"/>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2D1C0371-BB5E-4C37-8F4D-78F164B2B373}" type="TxLink">
            <a:rPr lang="en-US" sz="1400" b="1" i="0" u="none" strike="noStrike" cap="none" spc="0">
              <a:ln w="0"/>
              <a:solidFill>
                <a:schemeClr val="bg1"/>
              </a:solidFill>
              <a:effectLst>
                <a:outerShdw blurRad="38100" dist="19050" dir="2700000" algn="tl" rotWithShape="0">
                  <a:schemeClr val="dk1">
                    <a:alpha val="40000"/>
                  </a:schemeClr>
                </a:outerShdw>
              </a:effectLst>
              <a:latin typeface="Aptos"/>
            </a:rPr>
            <a:pPr algn="ctr"/>
            <a:t>$96,623</a:t>
          </a:fld>
          <a:endParaRPr lang="en-US"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2</xdr:col>
      <xdr:colOff>333375</xdr:colOff>
      <xdr:row>10</xdr:row>
      <xdr:rowOff>69056</xdr:rowOff>
    </xdr:from>
    <xdr:to>
      <xdr:col>4</xdr:col>
      <xdr:colOff>0</xdr:colOff>
      <xdr:row>11</xdr:row>
      <xdr:rowOff>135732</xdr:rowOff>
    </xdr:to>
    <xdr:sp macro="" textlink="">
      <xdr:nvSpPr>
        <xdr:cNvPr id="8" name="TextBox 7"/>
        <xdr:cNvSpPr txBox="1"/>
      </xdr:nvSpPr>
      <xdr:spPr>
        <a:xfrm>
          <a:off x="523875" y="1997869"/>
          <a:ext cx="1047750" cy="245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Total</a:t>
          </a:r>
          <a:r>
            <a:rPr lang="en-US" sz="1050" b="1" baseline="0">
              <a:solidFill>
                <a:schemeClr val="bg1"/>
              </a:solidFill>
            </a:rPr>
            <a:t> amount</a:t>
          </a:r>
          <a:endParaRPr lang="en-US" sz="1200" b="1">
            <a:solidFill>
              <a:schemeClr val="bg1"/>
            </a:solidFill>
          </a:endParaRPr>
        </a:p>
      </xdr:txBody>
    </xdr:sp>
    <xdr:clientData/>
  </xdr:twoCellAnchor>
  <xdr:twoCellAnchor>
    <xdr:from>
      <xdr:col>2</xdr:col>
      <xdr:colOff>457200</xdr:colOff>
      <xdr:row>12</xdr:row>
      <xdr:rowOff>173831</xdr:rowOff>
    </xdr:from>
    <xdr:to>
      <xdr:col>3</xdr:col>
      <xdr:colOff>638175</xdr:colOff>
      <xdr:row>14</xdr:row>
      <xdr:rowOff>52386</xdr:rowOff>
    </xdr:to>
    <xdr:sp macro="" textlink="pivots!B12">
      <xdr:nvSpPr>
        <xdr:cNvPr id="10" name="TextBox 9"/>
        <xdr:cNvSpPr txBox="1"/>
      </xdr:nvSpPr>
      <xdr:spPr>
        <a:xfrm>
          <a:off x="647700" y="2459831"/>
          <a:ext cx="871538" cy="235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97FC7F-A5A3-4072-91B2-C26ADD1375C2}" type="TxLink">
            <a:rPr lang="en-US" sz="1050" b="0" i="0" u="none" strike="noStrike">
              <a:solidFill>
                <a:schemeClr val="bg1"/>
              </a:solidFill>
              <a:latin typeface="Aptos"/>
            </a:rPr>
            <a:pPr/>
            <a:t>$20,872</a:t>
          </a:fld>
          <a:endParaRPr lang="en-US" sz="1050" b="0">
            <a:solidFill>
              <a:schemeClr val="bg1"/>
            </a:solidFill>
          </a:endParaRPr>
        </a:p>
      </xdr:txBody>
    </xdr:sp>
    <xdr:clientData/>
  </xdr:twoCellAnchor>
  <xdr:twoCellAnchor>
    <xdr:from>
      <xdr:col>2</xdr:col>
      <xdr:colOff>199550</xdr:colOff>
      <xdr:row>16</xdr:row>
      <xdr:rowOff>152399</xdr:rowOff>
    </xdr:from>
    <xdr:to>
      <xdr:col>4</xdr:col>
      <xdr:colOff>7144</xdr:colOff>
      <xdr:row>21</xdr:row>
      <xdr:rowOff>40480</xdr:rowOff>
    </xdr:to>
    <xdr:sp macro="" textlink="pivots!C4">
      <xdr:nvSpPr>
        <xdr:cNvPr id="11" name="Rectangle 10"/>
        <xdr:cNvSpPr/>
      </xdr:nvSpPr>
      <xdr:spPr>
        <a:xfrm>
          <a:off x="390050" y="3152774"/>
          <a:ext cx="1188719" cy="781050"/>
        </a:xfrm>
        <a:prstGeom prst="rect">
          <a:avLst/>
        </a:prstGeom>
        <a:solidFill>
          <a:srgbClr val="C00000"/>
        </a:solidFill>
        <a:ln>
          <a:solidFill>
            <a:srgbClr val="002060"/>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36A56313-49E3-4AF4-B3FB-57E4192BF041}" type="TxLink">
            <a:rPr lang="en-US" sz="1400" b="1" i="0" u="none" strike="noStrike" cap="none" spc="0">
              <a:ln w="0"/>
              <a:solidFill>
                <a:schemeClr val="bg1"/>
              </a:solidFill>
              <a:effectLst>
                <a:outerShdw blurRad="38100" dist="19050" dir="2700000" algn="tl" rotWithShape="0">
                  <a:schemeClr val="dk1">
                    <a:alpha val="40000"/>
                  </a:schemeClr>
                </a:outerShdw>
              </a:effectLst>
              <a:latin typeface="Aptos"/>
            </a:rPr>
            <a:pPr algn="ctr"/>
            <a:t>89850</a:t>
          </a:fld>
          <a:endParaRPr lang="en-US"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2</xdr:col>
      <xdr:colOff>330994</xdr:colOff>
      <xdr:row>16</xdr:row>
      <xdr:rowOff>171450</xdr:rowOff>
    </xdr:from>
    <xdr:to>
      <xdr:col>4</xdr:col>
      <xdr:colOff>73819</xdr:colOff>
      <xdr:row>18</xdr:row>
      <xdr:rowOff>50006</xdr:rowOff>
    </xdr:to>
    <xdr:sp macro="" textlink="">
      <xdr:nvSpPr>
        <xdr:cNvPr id="12" name="TextBox 11"/>
        <xdr:cNvSpPr txBox="1"/>
      </xdr:nvSpPr>
      <xdr:spPr>
        <a:xfrm>
          <a:off x="521494" y="3171825"/>
          <a:ext cx="1123950" cy="235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Total</a:t>
          </a:r>
          <a:r>
            <a:rPr lang="en-US" sz="1050" b="1" baseline="0">
              <a:solidFill>
                <a:schemeClr val="bg1"/>
              </a:solidFill>
            </a:rPr>
            <a:t> Duration</a:t>
          </a:r>
          <a:endParaRPr lang="en-US" sz="1200" b="1">
            <a:solidFill>
              <a:schemeClr val="bg1"/>
            </a:solidFill>
          </a:endParaRPr>
        </a:p>
      </xdr:txBody>
    </xdr:sp>
    <xdr:clientData/>
  </xdr:twoCellAnchor>
  <xdr:twoCellAnchor>
    <xdr:from>
      <xdr:col>2</xdr:col>
      <xdr:colOff>483393</xdr:colOff>
      <xdr:row>19</xdr:row>
      <xdr:rowOff>97630</xdr:rowOff>
    </xdr:from>
    <xdr:to>
      <xdr:col>3</xdr:col>
      <xdr:colOff>626268</xdr:colOff>
      <xdr:row>20</xdr:row>
      <xdr:rowOff>152399</xdr:rowOff>
    </xdr:to>
    <xdr:sp macro="" textlink="pivots!C12">
      <xdr:nvSpPr>
        <xdr:cNvPr id="14" name="TextBox 13"/>
        <xdr:cNvSpPr txBox="1"/>
      </xdr:nvSpPr>
      <xdr:spPr>
        <a:xfrm>
          <a:off x="673893" y="3633786"/>
          <a:ext cx="833438" cy="233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A857EB-5953-49F8-A1CC-74E1240405F2}" type="TxLink">
            <a:rPr lang="en-US" sz="1050" b="0" i="0" u="none" strike="noStrike">
              <a:solidFill>
                <a:schemeClr val="bg1"/>
              </a:solidFill>
              <a:latin typeface="Aptos"/>
            </a:rPr>
            <a:pPr/>
            <a:t>17700</a:t>
          </a:fld>
          <a:endParaRPr lang="en-US" sz="1050">
            <a:solidFill>
              <a:schemeClr val="bg1"/>
            </a:solidFill>
          </a:endParaRPr>
        </a:p>
      </xdr:txBody>
    </xdr:sp>
    <xdr:clientData/>
  </xdr:twoCellAnchor>
  <xdr:twoCellAnchor>
    <xdr:from>
      <xdr:col>2</xdr:col>
      <xdr:colOff>187644</xdr:colOff>
      <xdr:row>23</xdr:row>
      <xdr:rowOff>88106</xdr:rowOff>
    </xdr:from>
    <xdr:to>
      <xdr:col>3</xdr:col>
      <xdr:colOff>685800</xdr:colOff>
      <xdr:row>27</xdr:row>
      <xdr:rowOff>154781</xdr:rowOff>
    </xdr:to>
    <xdr:sp macro="" textlink="pivots!D4">
      <xdr:nvSpPr>
        <xdr:cNvPr id="15" name="Rectangle 14"/>
        <xdr:cNvSpPr/>
      </xdr:nvSpPr>
      <xdr:spPr>
        <a:xfrm>
          <a:off x="378144" y="4338637"/>
          <a:ext cx="1188719" cy="781050"/>
        </a:xfrm>
        <a:prstGeom prst="rect">
          <a:avLst/>
        </a:prstGeom>
        <a:solidFill>
          <a:srgbClr val="C00000"/>
        </a:solidFill>
        <a:ln>
          <a:solidFill>
            <a:srgbClr val="002060"/>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EE9C15F0-C944-43FC-BF86-FF0CB73816D7}" type="TxLink">
            <a:rPr lang="en-US" sz="1400" b="1" i="0" u="none" strike="noStrike" cap="none" spc="0">
              <a:ln w="0"/>
              <a:solidFill>
                <a:schemeClr val="bg1"/>
              </a:solidFill>
              <a:effectLst>
                <a:outerShdw blurRad="38100" dist="19050" dir="2700000" algn="tl" rotWithShape="0">
                  <a:schemeClr val="dk1">
                    <a:alpha val="40000"/>
                  </a:schemeClr>
                </a:outerShdw>
              </a:effectLst>
              <a:latin typeface="Aptos"/>
            </a:rPr>
            <a:pPr algn="ctr"/>
            <a:t>4</a:t>
          </a:fld>
          <a:endParaRPr lang="en-US"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2</xdr:col>
      <xdr:colOff>414338</xdr:colOff>
      <xdr:row>23</xdr:row>
      <xdr:rowOff>107157</xdr:rowOff>
    </xdr:from>
    <xdr:to>
      <xdr:col>4</xdr:col>
      <xdr:colOff>52388</xdr:colOff>
      <xdr:row>24</xdr:row>
      <xdr:rowOff>173831</xdr:rowOff>
    </xdr:to>
    <xdr:sp macro="" textlink="">
      <xdr:nvSpPr>
        <xdr:cNvPr id="16" name="TextBox 15"/>
        <xdr:cNvSpPr txBox="1"/>
      </xdr:nvSpPr>
      <xdr:spPr>
        <a:xfrm>
          <a:off x="604838" y="4357688"/>
          <a:ext cx="1019175" cy="245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Avg.</a:t>
          </a:r>
          <a:r>
            <a:rPr lang="en-US" sz="1050" b="1" baseline="0">
              <a:solidFill>
                <a:schemeClr val="bg1"/>
              </a:solidFill>
            </a:rPr>
            <a:t> </a:t>
          </a:r>
          <a:r>
            <a:rPr lang="en-US" sz="1100" b="1" baseline="0">
              <a:solidFill>
                <a:schemeClr val="bg1"/>
              </a:solidFill>
            </a:rPr>
            <a:t>Rating</a:t>
          </a:r>
          <a:endParaRPr lang="en-US" sz="1100" b="1">
            <a:solidFill>
              <a:schemeClr val="bg1"/>
            </a:solidFill>
          </a:endParaRPr>
        </a:p>
      </xdr:txBody>
    </xdr:sp>
    <xdr:clientData/>
  </xdr:twoCellAnchor>
  <xdr:twoCellAnchor>
    <xdr:from>
      <xdr:col>2</xdr:col>
      <xdr:colOff>652463</xdr:colOff>
      <xdr:row>26</xdr:row>
      <xdr:rowOff>33336</xdr:rowOff>
    </xdr:from>
    <xdr:to>
      <xdr:col>3</xdr:col>
      <xdr:colOff>395288</xdr:colOff>
      <xdr:row>27</xdr:row>
      <xdr:rowOff>88106</xdr:rowOff>
    </xdr:to>
    <xdr:sp macro="" textlink="pivots!D12">
      <xdr:nvSpPr>
        <xdr:cNvPr id="18" name="TextBox 17"/>
        <xdr:cNvSpPr txBox="1"/>
      </xdr:nvSpPr>
      <xdr:spPr>
        <a:xfrm>
          <a:off x="842963" y="4819649"/>
          <a:ext cx="433388" cy="233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CF1036-1802-42AA-937B-AF20A6528A83}" type="TxLink">
            <a:rPr lang="en-US" sz="1100" b="0" i="0" u="none" strike="noStrike">
              <a:solidFill>
                <a:schemeClr val="bg1"/>
              </a:solidFill>
              <a:latin typeface="Aptos"/>
            </a:rPr>
            <a:pPr/>
            <a:t>4</a:t>
          </a:fld>
          <a:endParaRPr lang="en-US" sz="1050">
            <a:solidFill>
              <a:schemeClr val="bg1"/>
            </a:solidFill>
          </a:endParaRPr>
        </a:p>
      </xdr:txBody>
    </xdr:sp>
    <xdr:clientData/>
  </xdr:twoCellAnchor>
  <xdr:twoCellAnchor>
    <xdr:from>
      <xdr:col>2</xdr:col>
      <xdr:colOff>187644</xdr:colOff>
      <xdr:row>30</xdr:row>
      <xdr:rowOff>16667</xdr:rowOff>
    </xdr:from>
    <xdr:to>
      <xdr:col>3</xdr:col>
      <xdr:colOff>685800</xdr:colOff>
      <xdr:row>34</xdr:row>
      <xdr:rowOff>83342</xdr:rowOff>
    </xdr:to>
    <xdr:sp macro="" textlink="pivots!E4">
      <xdr:nvSpPr>
        <xdr:cNvPr id="19" name="Rectangle 18"/>
        <xdr:cNvSpPr/>
      </xdr:nvSpPr>
      <xdr:spPr>
        <a:xfrm>
          <a:off x="378144" y="5517355"/>
          <a:ext cx="1188719" cy="781050"/>
        </a:xfrm>
        <a:prstGeom prst="rect">
          <a:avLst/>
        </a:prstGeom>
        <a:solidFill>
          <a:srgbClr val="C00000"/>
        </a:solidFill>
        <a:ln>
          <a:solidFill>
            <a:srgbClr val="002060"/>
          </a:solidFill>
        </a:ln>
        <a:effectLst>
          <a:outerShdw blurRad="50800" dist="38100" dir="2700000" algn="tl" rotWithShape="0">
            <a:prstClr val="black">
              <a:alpha val="40000"/>
            </a:prstClr>
          </a:out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0500309F-5D29-4EFB-AEB5-EE41067952FC}" type="TxLink">
            <a:rPr lang="en-US" sz="1400" b="1" i="0" u="none" strike="noStrike" cap="none" spc="0">
              <a:ln w="0"/>
              <a:solidFill>
                <a:schemeClr val="bg1"/>
              </a:solidFill>
              <a:effectLst>
                <a:outerShdw blurRad="38100" dist="19050" dir="2700000" algn="tl" rotWithShape="0">
                  <a:schemeClr val="dk1">
                    <a:alpha val="40000"/>
                  </a:schemeClr>
                </a:outerShdw>
              </a:effectLst>
              <a:latin typeface="Aptos"/>
            </a:rPr>
            <a:pPr algn="ctr"/>
            <a:t>307</a:t>
          </a:fld>
          <a:endParaRPr lang="en-US" sz="1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2</xdr:col>
      <xdr:colOff>381001</xdr:colOff>
      <xdr:row>30</xdr:row>
      <xdr:rowOff>57149</xdr:rowOff>
    </xdr:from>
    <xdr:to>
      <xdr:col>3</xdr:col>
      <xdr:colOff>561976</xdr:colOff>
      <xdr:row>31</xdr:row>
      <xdr:rowOff>140494</xdr:rowOff>
    </xdr:to>
    <xdr:sp macro="" textlink="">
      <xdr:nvSpPr>
        <xdr:cNvPr id="20" name="TextBox 19"/>
        <xdr:cNvSpPr txBox="1"/>
      </xdr:nvSpPr>
      <xdr:spPr>
        <a:xfrm>
          <a:off x="571501" y="5557837"/>
          <a:ext cx="87153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5* Calls</a:t>
          </a:r>
        </a:p>
      </xdr:txBody>
    </xdr:sp>
    <xdr:clientData/>
  </xdr:twoCellAnchor>
  <xdr:twoCellAnchor>
    <xdr:from>
      <xdr:col>2</xdr:col>
      <xdr:colOff>590551</xdr:colOff>
      <xdr:row>32</xdr:row>
      <xdr:rowOff>159543</xdr:rowOff>
    </xdr:from>
    <xdr:to>
      <xdr:col>3</xdr:col>
      <xdr:colOff>333376</xdr:colOff>
      <xdr:row>34</xdr:row>
      <xdr:rowOff>38098</xdr:rowOff>
    </xdr:to>
    <xdr:sp macro="" textlink="pivots!E12">
      <xdr:nvSpPr>
        <xdr:cNvPr id="22" name="TextBox 21"/>
        <xdr:cNvSpPr txBox="1"/>
      </xdr:nvSpPr>
      <xdr:spPr>
        <a:xfrm>
          <a:off x="781051" y="6017418"/>
          <a:ext cx="433388" cy="235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34A9F4-F11B-4097-99EC-6785096AAE4F}" type="TxLink">
            <a:rPr lang="en-US" sz="1100" b="0" i="0" u="none" strike="noStrike">
              <a:solidFill>
                <a:schemeClr val="bg1"/>
              </a:solidFill>
              <a:latin typeface="Aptos"/>
            </a:rPr>
            <a:pPr/>
            <a:t>60</a:t>
          </a:fld>
          <a:endParaRPr lang="en-US" sz="1050">
            <a:solidFill>
              <a:schemeClr val="bg1"/>
            </a:solidFill>
          </a:endParaRPr>
        </a:p>
      </xdr:txBody>
    </xdr:sp>
    <xdr:clientData/>
  </xdr:twoCellAnchor>
  <xdr:twoCellAnchor editAs="oneCell">
    <xdr:from>
      <xdr:col>2</xdr:col>
      <xdr:colOff>228600</xdr:colOff>
      <xdr:row>11</xdr:row>
      <xdr:rowOff>14288</xdr:rowOff>
    </xdr:from>
    <xdr:to>
      <xdr:col>2</xdr:col>
      <xdr:colOff>476250</xdr:colOff>
      <xdr:row>12</xdr:row>
      <xdr:rowOff>63561</xdr:rowOff>
    </xdr:to>
    <xdr:pic>
      <xdr:nvPicPr>
        <xdr:cNvPr id="23"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11">
          <a:extLst>
            <a:ext uri="{96DAC541-7B7A-43D3-8B79-37D633B846F1}">
              <asvg:svgBlip xmlns="" xmlns:asvg="http://schemas.microsoft.com/office/drawing/2016/SVG/main" r:embed="rId6"/>
            </a:ext>
          </a:extLst>
        </a:blip>
        <a:stretch>
          <a:fillRect/>
        </a:stretch>
      </xdr:blipFill>
      <xdr:spPr>
        <a:xfrm>
          <a:off x="419100" y="2121694"/>
          <a:ext cx="247650" cy="227867"/>
        </a:xfrm>
        <a:prstGeom prst="rect">
          <a:avLst/>
        </a:prstGeom>
      </xdr:spPr>
    </xdr:pic>
    <xdr:clientData/>
  </xdr:twoCellAnchor>
  <xdr:twoCellAnchor editAs="oneCell">
    <xdr:from>
      <xdr:col>2</xdr:col>
      <xdr:colOff>204788</xdr:colOff>
      <xdr:row>24</xdr:row>
      <xdr:rowOff>23814</xdr:rowOff>
    </xdr:from>
    <xdr:to>
      <xdr:col>2</xdr:col>
      <xdr:colOff>548917</xdr:colOff>
      <xdr:row>25</xdr:row>
      <xdr:rowOff>145257</xdr:rowOff>
    </xdr:to>
    <xdr:pic>
      <xdr:nvPicPr>
        <xdr:cNvPr id="24"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2">
          <a:extLst>
            <a:ext uri="{96DAC541-7B7A-43D3-8B79-37D633B846F1}">
              <asvg:svgBlip xmlns="" xmlns:asvg="http://schemas.microsoft.com/office/drawing/2016/SVG/main" r:embed="rId13"/>
            </a:ext>
          </a:extLst>
        </a:blip>
        <a:srcRect/>
        <a:stretch/>
      </xdr:blipFill>
      <xdr:spPr>
        <a:xfrm>
          <a:off x="395288" y="4452939"/>
          <a:ext cx="344129" cy="300037"/>
        </a:xfrm>
        <a:prstGeom prst="rect">
          <a:avLst/>
        </a:prstGeom>
      </xdr:spPr>
    </xdr:pic>
    <xdr:clientData/>
  </xdr:twoCellAnchor>
  <xdr:twoCellAnchor editAs="oneCell">
    <xdr:from>
      <xdr:col>2</xdr:col>
      <xdr:colOff>207169</xdr:colOff>
      <xdr:row>17</xdr:row>
      <xdr:rowOff>161925</xdr:rowOff>
    </xdr:from>
    <xdr:to>
      <xdr:col>2</xdr:col>
      <xdr:colOff>473869</xdr:colOff>
      <xdr:row>19</xdr:row>
      <xdr:rowOff>58271</xdr:rowOff>
    </xdr:to>
    <xdr:pic>
      <xdr:nvPicPr>
        <xdr:cNvPr id="25"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4">
          <a:extLst>
            <a:ext uri="{96DAC541-7B7A-43D3-8B79-37D633B846F1}">
              <asvg:svgBlip xmlns="" xmlns:asvg="http://schemas.microsoft.com/office/drawing/2016/SVG/main" r:embed="rId2"/>
            </a:ext>
          </a:extLst>
        </a:blip>
        <a:stretch>
          <a:fillRect/>
        </a:stretch>
      </xdr:blipFill>
      <xdr:spPr>
        <a:xfrm>
          <a:off x="397669" y="3340894"/>
          <a:ext cx="266700" cy="253533"/>
        </a:xfrm>
        <a:prstGeom prst="rect">
          <a:avLst/>
        </a:prstGeom>
      </xdr:spPr>
    </xdr:pic>
    <xdr:clientData/>
  </xdr:twoCellAnchor>
  <xdr:twoCellAnchor editAs="oneCell">
    <xdr:from>
      <xdr:col>2</xdr:col>
      <xdr:colOff>161926</xdr:colOff>
      <xdr:row>31</xdr:row>
      <xdr:rowOff>47625</xdr:rowOff>
    </xdr:from>
    <xdr:to>
      <xdr:col>2</xdr:col>
      <xdr:colOff>457201</xdr:colOff>
      <xdr:row>32</xdr:row>
      <xdr:rowOff>38100</xdr:rowOff>
    </xdr:to>
    <xdr:pic>
      <xdr:nvPicPr>
        <xdr:cNvPr id="26"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15">
          <a:extLst>
            <a:ext uri="{96DAC541-7B7A-43D3-8B79-37D633B846F1}">
              <asvg:svgBlip xmlns="" xmlns:asvg="http://schemas.microsoft.com/office/drawing/2016/SVG/main" r:embed="rId4"/>
            </a:ext>
          </a:extLst>
        </a:blip>
        <a:stretch>
          <a:fillRect/>
        </a:stretch>
      </xdr:blipFill>
      <xdr:spPr>
        <a:xfrm>
          <a:off x="352426" y="5726906"/>
          <a:ext cx="295275" cy="169069"/>
        </a:xfrm>
        <a:prstGeom prst="rect">
          <a:avLst/>
        </a:prstGeom>
      </xdr:spPr>
    </xdr:pic>
    <xdr:clientData/>
  </xdr:twoCellAnchor>
  <xdr:twoCellAnchor>
    <xdr:from>
      <xdr:col>4</xdr:col>
      <xdr:colOff>250032</xdr:colOff>
      <xdr:row>2</xdr:row>
      <xdr:rowOff>154782</xdr:rowOff>
    </xdr:from>
    <xdr:to>
      <xdr:col>10</xdr:col>
      <xdr:colOff>214312</xdr:colOff>
      <xdr:row>15</xdr:row>
      <xdr:rowOff>107156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321469</xdr:colOff>
      <xdr:row>2</xdr:row>
      <xdr:rowOff>166687</xdr:rowOff>
    </xdr:from>
    <xdr:to>
      <xdr:col>13</xdr:col>
      <xdr:colOff>607218</xdr:colOff>
      <xdr:row>15</xdr:row>
      <xdr:rowOff>95250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13</xdr:col>
      <xdr:colOff>59531</xdr:colOff>
      <xdr:row>16</xdr:row>
      <xdr:rowOff>35719</xdr:rowOff>
    </xdr:from>
    <xdr:to>
      <xdr:col>14</xdr:col>
      <xdr:colOff>583406</xdr:colOff>
      <xdr:row>34</xdr:row>
      <xdr:rowOff>127000</xdr:rowOff>
    </xdr:to>
    <mc:AlternateContent xmlns:mc="http://schemas.openxmlformats.org/markup-compatibility/2006">
      <mc:Choice xmlns:a14="http://schemas.microsoft.com/office/drawing/2010/main" Requires="a14">
        <xdr:graphicFrame macro="">
          <xdr:nvGraphicFramePr>
            <xdr:cNvPr id="27" name="Representative 1"/>
            <xdr:cNvGraphicFramePr>
              <a:graphicFrameLocks/>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7781131" y="3032919"/>
              <a:ext cx="1209675" cy="3291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226220</xdr:colOff>
      <xdr:row>16</xdr:row>
      <xdr:rowOff>11905</xdr:rowOff>
    </xdr:from>
    <xdr:to>
      <xdr:col>8</xdr:col>
      <xdr:colOff>297655</xdr:colOff>
      <xdr:row>35</xdr:row>
      <xdr:rowOff>11906</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83342</xdr:colOff>
      <xdr:row>16</xdr:row>
      <xdr:rowOff>11907</xdr:rowOff>
    </xdr:from>
    <xdr:to>
      <xdr:col>12</xdr:col>
      <xdr:colOff>690561</xdr:colOff>
      <xdr:row>35</xdr:row>
      <xdr:rowOff>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11906</xdr:colOff>
      <xdr:row>2</xdr:row>
      <xdr:rowOff>166687</xdr:rowOff>
    </xdr:from>
    <xdr:to>
      <xdr:col>18</xdr:col>
      <xdr:colOff>142875</xdr:colOff>
      <xdr:row>15</xdr:row>
      <xdr:rowOff>107157</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xdr:col>
      <xdr:colOff>250031</xdr:colOff>
      <xdr:row>3</xdr:row>
      <xdr:rowOff>0</xdr:rowOff>
    </xdr:from>
    <xdr:to>
      <xdr:col>22</xdr:col>
      <xdr:colOff>35718</xdr:colOff>
      <xdr:row>15</xdr:row>
      <xdr:rowOff>83345</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178594</xdr:colOff>
      <xdr:row>0</xdr:row>
      <xdr:rowOff>95250</xdr:rowOff>
    </xdr:from>
    <xdr:to>
      <xdr:col>22</xdr:col>
      <xdr:colOff>47624</xdr:colOff>
      <xdr:row>2</xdr:row>
      <xdr:rowOff>59530</xdr:rowOff>
    </xdr:to>
    <xdr:sp macro="" textlink="">
      <xdr:nvSpPr>
        <xdr:cNvPr id="9" name="Rounded Rectangle 8"/>
        <xdr:cNvSpPr/>
      </xdr:nvSpPr>
      <xdr:spPr>
        <a:xfrm>
          <a:off x="369094" y="95250"/>
          <a:ext cx="14180343" cy="46434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2">
                  <a:lumMod val="50000"/>
                </a:schemeClr>
              </a:solidFill>
            </a:rPr>
            <a:t>Call Centre Data - 2023</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287.824425115738" backgroundQuery="1" createdVersion="6" refreshedVersion="6" minRefreshableVersion="3" recordCount="0" supportSubquery="1" supportAdvancedDrill="1">
  <cacheSource type="external" connectionId="1"/>
  <cacheFields count="3">
    <cacheField name="[customers].[City].[City]" caption="City" numFmtId="0" hierarchy="13" level="1">
      <sharedItems count="3">
        <s v="Cincinnati"/>
        <s v="Cleveland"/>
        <s v="Columbus"/>
      </sharedItems>
    </cacheField>
    <cacheField name="[Measures].[call count]" caption="call count" numFmtId="0" hierarchy="17" level="32767"/>
    <cacheField name="[customers].[Gedner].[Gedner]" caption="Gedner" numFmtId="0" hierarchy="15" level="1">
      <sharedItems count="2">
        <s v="Female"/>
        <s v="Male"/>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287.639273148146" backgroundQuery="1" createdVersion="6" refreshedVersion="6" minRefreshableVersion="3" recordCount="0" supportSubquery="1" supportAdvancedDrill="1">
  <cacheSource type="external" connectionId="1"/>
  <cacheFields count="3">
    <cacheField name="[calls].[Representative].[Representative]" caption="Representative" numFmtId="0" hierarchy="10"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286.972748263892" backgroundQuery="1" createdVersion="6" refreshedVersion="6" minRefreshableVersion="3" recordCount="0" supportSubquery="1" supportAdvancedDrill="1">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287.859400000001" backgroundQuery="1" createdVersion="6" refreshedVersion="6" minRefreshableVersion="3" recordCount="0" supportSubquery="1" supportAdvancedDrill="1">
  <cacheSource type="external" connectionId="1"/>
  <cacheFields count="4">
    <cacheField name="[calls].[Representative].[Representative]" caption="Representative" numFmtId="0" hierarchy="10" level="1">
      <sharedItems count="5">
        <s v="R01"/>
        <s v="R02"/>
        <s v="R03"/>
        <s v="R04"/>
        <s v="R05"/>
      </sharedItems>
    </cacheField>
    <cacheField name="[customers].[City].[City]" caption="City" numFmtId="0" hierarchy="13" level="1">
      <sharedItems count="3">
        <s v="Cincinnati"/>
        <s v="Cleveland"/>
        <s v="Columbus"/>
      </sharedItems>
    </cacheField>
    <cacheField name="[customers].[Customer ID].[Customer ID]" caption="Customer ID" numFmtId="0" hierarchy="14"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287.987559606481" backgroundQuery="1" createdVersion="6" refreshedVersion="6" minRefreshableVersion="3" recordCount="0" supportSubquery="1" supportAdvancedDrill="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10"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287.987561111113" backgroundQuery="1" createdVersion="6" refreshedVersion="6" minRefreshableVersion="3" recordCount="0" supportSubquery="1" supportAdvancedDrill="1">
  <cacheSource type="external" connectionId="1"/>
  <cacheFields count="5">
    <cacheField name="[calls].[Representative].[Representative]" caption="Representative" numFmtId="0" hierarchy="10" level="1">
      <sharedItems containsSemiMixedTypes="0" containsNonDate="0" containsString="0"/>
    </cacheField>
    <cacheField name="[calls].[Date of Call].[Date of Call]" caption="Date of Call" numFmtId="0" hierarchy="2" level="1">
      <sharedItems containsSemiMixedTypes="0" containsNonDate="0" containsDate="1" containsString="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3" level="1">
      <sharedItems count="12">
        <s v="Jan"/>
        <s v="Feb"/>
        <s v="Mar"/>
        <s v="Apr"/>
        <s v="May"/>
        <s v="Jun"/>
        <s v="Jul"/>
        <s v="Aug"/>
        <s v="Sep"/>
        <s v="Oct"/>
        <s v="Nov"/>
        <s v="Dec"/>
      </sharedItems>
    </cacheField>
    <cacheField name="[Measures].[call count]" caption="call count"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287.987561689813" backgroundQuery="1" createdVersion="6" refreshedVersion="6" minRefreshableVersion="3" recordCount="0" supportSubquery="1" supportAdvancedDrill="1">
  <cacheSource type="external" connectionId="1"/>
  <cacheFields count="3">
    <cacheField name="[calls].[Representative].[Representative]" caption="Representative" numFmtId="0" hierarchy="10" level="1">
      <sharedItems containsSemiMixedTypes="0" containsNonDate="0" containsString="0"/>
    </cacheField>
    <cacheField name="[calls].[Day of week].[Day of week]" caption="Day of week" numFmtId="0" hierarchy="4"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287.987562152775" backgroundQuery="1" createdVersion="6" refreshedVersion="6" minRefreshableVersion="3" recordCount="0" supportSubquery="1" supportAdvancedDrill="1">
  <cacheSource type="external" connectionId="1"/>
  <cacheFields count="1">
    <cacheField name="[calls].[Representative].[Representative]" caption="Representative" numFmtId="0" hierarchy="10"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287.987562731483" backgroundQuery="1" createdVersion="6" refreshedVersion="6" minRefreshableVersion="3" recordCount="0" supportSubquery="1" supportAdvancedDrill="1">
  <cacheSource type="external" connectionId="1"/>
  <cacheFields count="3">
    <cacheField name="[Measures].[call count]" caption="call count" numFmtId="0" hierarchy="17" level="32767"/>
    <cacheField name="[calls].[Rating rounded].[Rating rounded]" caption="Rating rounded" numFmtId="0" hierarchy="9"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10"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286.972742013888"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FY]" caption="FY" attribute="1" defaultMemberUniqueName="[calls].[FY].[All]" allUniqueName="[calls].[FY].[All]" dimensionUniqueName="[calls]" displayFolder="" count="0" memberValueDatatype="20"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63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7">
  <location ref="A72:D77" firstHeaderRow="1" firstDataRow="2" firstDataCol="1"/>
  <pivotFields count="3">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3">
        <item x="0"/>
        <item x="1"/>
        <item t="default"/>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2">
    <chartFormat chart="16" format="4" series="1">
      <pivotArea type="data" outline="0" fieldPosition="0">
        <references count="2">
          <reference field="4294967294" count="1" selected="0">
            <x v="0"/>
          </reference>
          <reference field="2" count="1" selected="0">
            <x v="0"/>
          </reference>
        </references>
      </pivotArea>
    </chartFormat>
    <chartFormat chart="16" format="5"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Lst>
</pivotTableDefinition>
</file>

<file path=xl/pivotTables/pivotTable2.xml><?xml version="1.0" encoding="utf-8"?>
<pivotTableDefinition xmlns="http://schemas.openxmlformats.org/spreadsheetml/2006/main" name="monthly" cacheId="71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2">
  <location ref="A23:C36" firstHeaderRow="0" firstDataRow="1" firstDataCol="1"/>
  <pivotFields count="5">
    <pivotField allDrilled="1" showAll="0" dataSourceSort="1" defaultAttributeDrillState="1"/>
    <pivotField axis="axisRow" allDrilled="1" showAll="0" dataSourceSort="1" defaultAttributeDrillState="1">
      <items count="14">
        <item x="0"/>
        <item x="1"/>
        <item x="2"/>
        <item x="3"/>
        <item x="4"/>
        <item x="5"/>
        <item x="6"/>
        <item x="7"/>
        <item x="8"/>
        <item x="9"/>
        <item x="10"/>
        <item x="11"/>
        <item x="12"/>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6">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1"/>
          </reference>
        </references>
      </pivotArea>
    </chartFormat>
    <chartFormat chart="31"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3.xml><?xml version="1.0" encoding="utf-8"?>
<pivotTableDefinition xmlns="http://schemas.openxmlformats.org/spreadsheetml/2006/main" name="select repo" cacheId="7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65:A67" firstHeaderRow="1" firstDataRow="1" firstDataCol="1"/>
  <pivotFields count="1">
    <pivotField axis="axisRow" allDrilled="1" showAll="0" dataSourceSort="1" defaultAttributeDrillState="1">
      <items count="2">
        <item s="1" x="0"/>
        <item t="default"/>
      </items>
    </pivotField>
  </pivotFields>
  <rowFields count="1">
    <field x="0"/>
  </rowFields>
  <rowItems count="2">
    <i>
      <x/>
    </i>
    <i t="grand">
      <x/>
    </i>
  </rowItems>
  <formats count="1">
    <format dxfId="20">
      <pivotArea dataOnly="0" labelOnly="1" fieldPosition="0">
        <references count="1">
          <reference field="0" count="0"/>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Lst>
</pivotTableDefinition>
</file>

<file path=xl/pivotTables/pivotTable4.xml><?xml version="1.0" encoding="utf-8"?>
<pivotTableDefinition xmlns="http://schemas.openxmlformats.org/spreadsheetml/2006/main" name="rep pivot" cacheId="7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1:E12"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5.xml><?xml version="1.0" encoding="utf-8"?>
<pivotTableDefinition xmlns="http://schemas.openxmlformats.org/spreadsheetml/2006/main" name="Repo pivot" cacheId="6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2:C58"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
    <format dxfId="21">
      <pivotArea collapsedLevelsAreSubtotals="1" fieldPosition="0">
        <references count="2">
          <reference field="4294967294" count="1" selected="0">
            <x v="1"/>
          </reference>
          <reference field="0" count="0"/>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6.xml><?xml version="1.0" encoding="utf-8"?>
<pivotTableDefinition xmlns="http://schemas.openxmlformats.org/spreadsheetml/2006/main" name="summary pivot" cacheId="6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7.xml><?xml version="1.0" encoding="utf-8"?>
<pivotTableDefinition xmlns="http://schemas.openxmlformats.org/spreadsheetml/2006/main" name="analyse" cacheId="642"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22">
  <location ref="A101:G120" firstHeaderRow="1" firstDataRow="2" firstDataCol="1"/>
  <pivotFields count="4">
    <pivotField axis="axisCol" allDrilled="1" showAll="0" dataSourceSort="1" defaultSubtotal="0" defaultAttributeDrillState="1">
      <items count="5">
        <item x="0"/>
        <item x="1"/>
        <item x="2"/>
        <item x="3"/>
        <item x="4"/>
      </items>
    </pivotField>
    <pivotField axis="axisRow" allDrilled="1" showAll="0" dataSourceSort="1" defaultSubtotal="0" defaultAttributeDrillState="1">
      <items count="3">
        <item x="0"/>
        <item x="1"/>
        <item x="2"/>
      </items>
    </pivotField>
    <pivotField axis="axisRow" allDrilled="1" showAll="0" dataSourceSort="1" defaultSubtotal="0" defaultAttributeDrillState="1">
      <items count="15">
        <item x="0"/>
        <item x="1"/>
        <item x="2"/>
        <item x="3"/>
        <item x="4"/>
        <item x="5"/>
        <item x="6"/>
        <item x="7"/>
        <item x="8"/>
        <item x="9"/>
        <item x="10"/>
        <item x="11"/>
        <item x="12"/>
        <item x="13"/>
        <item x="14"/>
      </items>
    </pivotField>
    <pivotField dataField="1" showAl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4"/>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Lst>
</pivotTableDefinition>
</file>

<file path=xl/pivotTables/pivotTable8.xml><?xml version="1.0" encoding="utf-8"?>
<pivotTableDefinition xmlns="http://schemas.openxmlformats.org/spreadsheetml/2006/main" name="rating repo" cacheId="72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A83:B90" firstHeaderRow="1" firstDataRow="1" firstDataCol="1"/>
  <pivotFields count="3">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21" format="3"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Lst>
</pivotTableDefinition>
</file>

<file path=xl/pivotTables/pivotTable9.xml><?xml version="1.0" encoding="utf-8"?>
<pivotTableDefinition xmlns="http://schemas.openxmlformats.org/spreadsheetml/2006/main" name="weakly" cacheId="71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4">
  <location ref="H23:I31" firstHeaderRow="1" firstDataRow="1" firstDataCol="1"/>
  <pivotFields count="3">
    <pivotField allDrilled="1" showAll="0" dataSourceSort="1" defaultAttributeDrillState="1"/>
    <pivotField axis="axisRow" allDrilled="1" showAll="0" sortType="ascending" defaultAttributeDrillState="1">
      <items count="8">
        <item x="3"/>
        <item x="1"/>
        <item x="5"/>
        <item x="6"/>
        <item x="4"/>
        <item x="0"/>
        <item x="2"/>
        <item t="default"/>
      </items>
    </pivotField>
    <pivotField dataField="1" showAl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51" format="1"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3" format="3"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presentative" sourceName="[calls].[Representative]">
  <pivotTables>
    <pivotTable tabId="6" name="rep pivot"/>
    <pivotTable tabId="6" name="monthly"/>
    <pivotTable tabId="6" name="weakly"/>
    <pivotTable tabId="6" name="select repo"/>
    <pivotTable tabId="6" name="rating repo"/>
  </pivotTables>
  <data>
    <olap pivotCacheId="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presentative" cache="Slicer_Representative" caption="Representative"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presentative 1" cache="Slicer_Representative" caption="Representative" level="1" style="Slicer Style 2" rowHeight="548640"/>
</slicers>
</file>

<file path=xl/tables/table1.xml><?xml version="1.0" encoding="utf-8"?>
<table xmlns="http://schemas.openxmlformats.org/spreadsheetml/2006/main" id="1" name="calls" displayName="calls" ref="B3:L1003" totalsRowShown="0">
  <autoFilter ref="B3:L1003"/>
  <tableColumns count="11">
    <tableColumn id="1" name="Call number"/>
    <tableColumn id="2" name="Customer ID"/>
    <tableColumn id="3" name="Duration"/>
    <tableColumn id="4" name="Representative" dataDxfId="19"/>
    <tableColumn id="5" name="Date of Call" dataDxfId="18"/>
    <tableColumn id="6" name="Purchase Amount"/>
    <tableColumn id="7" name="Satisfaction Rating"/>
    <tableColumn id="8" name="FY" dataDxfId="17">
      <calculatedColumnFormula>IF(MONTH(calls[[#This Row],[Date of Call]])&lt;=6, YEAR(calls[[#This Row],[Date of Call]]), YEAR(calls[[#This Row],[Date of Call]])+1)</calculatedColumnFormula>
    </tableColumn>
    <tableColumn id="9" name="Day of week" dataDxfId="16">
      <calculatedColumnFormula>TEXT(calls[[#This Row],[Date of Call]],"DDDD")</calculatedColumnFormula>
    </tableColumn>
    <tableColumn id="10" name="Duration Bucket" dataDxfId="15">
      <calculatedColumnFormula array="1">_xlfn.IFS(calls[[#This Row],[Duration]]&lt;=10,"Under 10 mins", calls[[#This Row],[Duration]]&lt;=30, "10 to 30 mins", calls[[#This Row],[Duration]]&lt;=60, "30 to 60 mins", calls[[#This Row],[Duration]]&lt;=120, "1 to 2 hours", TRUE, "More than 2 hours")</calculatedColumnFormula>
    </tableColumn>
    <tableColumn id="11" name="Rating rounded" dataDxfId="1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customers" displayName="customers" ref="Q3:T18" totalsRowShown="0" headerRowDxfId="13" headerRowBorderDxfId="12" tableBorderDxfId="11" totalsRowBorderDxfId="10">
  <autoFilter ref="Q3:T18"/>
  <tableColumns count="4">
    <tableColumn id="1" name="Customer ID" dataDxfId="9"/>
    <tableColumn id="2" name="Gedner" dataDxfId="8"/>
    <tableColumn id="3" name="Age" dataDxfId="7"/>
    <tableColumn id="4" name="City"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20"/>
  <sheetViews>
    <sheetView topLeftCell="A59" workbookViewId="0">
      <selection activeCell="I109" sqref="I109"/>
    </sheetView>
  </sheetViews>
  <sheetFormatPr defaultRowHeight="14.25"/>
  <cols>
    <col min="1" max="1" width="13.125" customWidth="1"/>
    <col min="2" max="2" width="9.375" customWidth="1"/>
    <col min="3" max="3" width="10.375" customWidth="1"/>
    <col min="4" max="4" width="14" customWidth="1"/>
    <col min="5" max="5" width="7.125" customWidth="1"/>
    <col min="6" max="6" width="6.375" customWidth="1"/>
    <col min="7" max="7" width="11.375" bestFit="1" customWidth="1"/>
    <col min="8" max="8" width="13.125" customWidth="1"/>
    <col min="9" max="9" width="9.375" customWidth="1"/>
    <col min="10" max="10" width="10.375" bestFit="1" customWidth="1"/>
  </cols>
  <sheetData>
    <row r="3" spans="1:5">
      <c r="A3" t="s">
        <v>1040</v>
      </c>
      <c r="B3" t="s">
        <v>1041</v>
      </c>
      <c r="C3" t="s">
        <v>1042</v>
      </c>
      <c r="D3" t="s">
        <v>1043</v>
      </c>
      <c r="E3" t="s">
        <v>1044</v>
      </c>
    </row>
    <row r="4" spans="1:5">
      <c r="A4" s="21">
        <v>1000</v>
      </c>
      <c r="B4" s="22">
        <v>96623</v>
      </c>
      <c r="C4" s="23">
        <v>89850</v>
      </c>
      <c r="D4" s="23">
        <v>3.8854000000000033</v>
      </c>
      <c r="E4" s="24">
        <v>307</v>
      </c>
    </row>
    <row r="11" spans="1:5">
      <c r="A11" t="s">
        <v>1040</v>
      </c>
      <c r="B11" t="s">
        <v>1041</v>
      </c>
      <c r="C11" t="s">
        <v>1042</v>
      </c>
      <c r="D11" t="s">
        <v>1043</v>
      </c>
      <c r="E11" t="s">
        <v>1044</v>
      </c>
    </row>
    <row r="12" spans="1:5">
      <c r="A12" s="21">
        <v>207</v>
      </c>
      <c r="B12" s="22">
        <v>20872</v>
      </c>
      <c r="C12" s="23">
        <v>17700</v>
      </c>
      <c r="D12" s="23">
        <v>3.8589371980676304</v>
      </c>
      <c r="E12" s="24">
        <v>60</v>
      </c>
    </row>
    <row r="23" spans="1:9">
      <c r="A23" s="25" t="s">
        <v>1045</v>
      </c>
      <c r="B23" t="s">
        <v>1040</v>
      </c>
      <c r="C23" t="s">
        <v>1059</v>
      </c>
      <c r="H23" s="25" t="s">
        <v>1045</v>
      </c>
      <c r="I23" t="s">
        <v>1040</v>
      </c>
    </row>
    <row r="24" spans="1:9">
      <c r="A24" s="26" t="s">
        <v>1047</v>
      </c>
      <c r="B24" s="21">
        <v>13</v>
      </c>
      <c r="C24" s="21">
        <v>13</v>
      </c>
      <c r="H24" s="26" t="s">
        <v>1063</v>
      </c>
      <c r="I24" s="21">
        <v>30</v>
      </c>
    </row>
    <row r="25" spans="1:9">
      <c r="A25" s="26" t="s">
        <v>1048</v>
      </c>
      <c r="B25" s="21">
        <v>13</v>
      </c>
      <c r="C25" s="21">
        <v>13</v>
      </c>
      <c r="H25" s="26" t="s">
        <v>1061</v>
      </c>
      <c r="I25" s="21">
        <v>34</v>
      </c>
    </row>
    <row r="26" spans="1:9">
      <c r="A26" s="26" t="s">
        <v>1049</v>
      </c>
      <c r="B26" s="21">
        <v>28</v>
      </c>
      <c r="C26" s="21">
        <v>28</v>
      </c>
      <c r="H26" s="26" t="s">
        <v>1065</v>
      </c>
      <c r="I26" s="21">
        <v>26</v>
      </c>
    </row>
    <row r="27" spans="1:9">
      <c r="A27" s="26" t="s">
        <v>1050</v>
      </c>
      <c r="B27" s="21">
        <v>24</v>
      </c>
      <c r="C27" s="21">
        <v>24</v>
      </c>
      <c r="H27" s="26" t="s">
        <v>1066</v>
      </c>
      <c r="I27" s="21">
        <v>38</v>
      </c>
    </row>
    <row r="28" spans="1:9">
      <c r="A28" s="26" t="s">
        <v>1051</v>
      </c>
      <c r="B28" s="21">
        <v>23</v>
      </c>
      <c r="C28" s="21">
        <v>23</v>
      </c>
      <c r="H28" s="26" t="s">
        <v>1064</v>
      </c>
      <c r="I28" s="21">
        <v>27</v>
      </c>
    </row>
    <row r="29" spans="1:9">
      <c r="A29" s="26" t="s">
        <v>1052</v>
      </c>
      <c r="B29" s="21">
        <v>17</v>
      </c>
      <c r="C29" s="21">
        <v>17</v>
      </c>
      <c r="H29" s="26" t="s">
        <v>1060</v>
      </c>
      <c r="I29" s="21">
        <v>27</v>
      </c>
    </row>
    <row r="30" spans="1:9">
      <c r="A30" s="26" t="s">
        <v>1053</v>
      </c>
      <c r="B30" s="21">
        <v>11</v>
      </c>
      <c r="C30" s="21">
        <v>11</v>
      </c>
      <c r="H30" s="26" t="s">
        <v>1062</v>
      </c>
      <c r="I30" s="21">
        <v>25</v>
      </c>
    </row>
    <row r="31" spans="1:9">
      <c r="A31" s="26" t="s">
        <v>1054</v>
      </c>
      <c r="B31" s="21">
        <v>11</v>
      </c>
      <c r="C31" s="21">
        <v>11</v>
      </c>
      <c r="H31" s="26" t="s">
        <v>1046</v>
      </c>
      <c r="I31" s="21">
        <v>207</v>
      </c>
    </row>
    <row r="32" spans="1:9">
      <c r="A32" s="26" t="s">
        <v>1055</v>
      </c>
      <c r="B32" s="21">
        <v>14</v>
      </c>
      <c r="C32" s="21">
        <v>14</v>
      </c>
    </row>
    <row r="33" spans="1:9">
      <c r="A33" s="26" t="s">
        <v>1056</v>
      </c>
      <c r="B33" s="21">
        <v>30</v>
      </c>
      <c r="C33" s="21">
        <v>30</v>
      </c>
    </row>
    <row r="34" spans="1:9">
      <c r="A34" s="26" t="s">
        <v>1057</v>
      </c>
      <c r="B34" s="21">
        <v>14</v>
      </c>
      <c r="C34" s="21">
        <v>14</v>
      </c>
    </row>
    <row r="35" spans="1:9">
      <c r="A35" s="26" t="s">
        <v>1058</v>
      </c>
      <c r="B35" s="21">
        <v>9</v>
      </c>
      <c r="C35" s="21">
        <v>9</v>
      </c>
    </row>
    <row r="36" spans="1:9">
      <c r="A36" s="26" t="s">
        <v>1046</v>
      </c>
      <c r="B36" s="21">
        <v>207</v>
      </c>
      <c r="C36" s="21">
        <v>207</v>
      </c>
    </row>
    <row r="48" spans="1:9">
      <c r="H48" t="s">
        <v>1073</v>
      </c>
      <c r="I48" t="str">
        <f>A66</f>
        <v>R03</v>
      </c>
    </row>
    <row r="49" spans="1:9">
      <c r="E49" t="s">
        <v>1067</v>
      </c>
    </row>
    <row r="51" spans="1:9">
      <c r="E51" t="s">
        <v>1068</v>
      </c>
      <c r="F51" t="s">
        <v>1069</v>
      </c>
      <c r="G51" t="s">
        <v>1070</v>
      </c>
      <c r="H51" t="s">
        <v>1071</v>
      </c>
      <c r="I51" t="s">
        <v>1072</v>
      </c>
    </row>
    <row r="52" spans="1:9">
      <c r="A52" s="25" t="s">
        <v>1045</v>
      </c>
      <c r="B52" t="s">
        <v>1040</v>
      </c>
      <c r="C52" t="s">
        <v>1041</v>
      </c>
      <c r="E52" s="26" t="s">
        <v>11</v>
      </c>
      <c r="F52" s="21">
        <v>189</v>
      </c>
      <c r="G52" s="22">
        <v>18415</v>
      </c>
      <c r="H52" t="e">
        <f>IF(E52=$I$48,F52,NA())</f>
        <v>#N/A</v>
      </c>
      <c r="I52" t="e">
        <f>IF(E52=$I$48,G52,NA())</f>
        <v>#N/A</v>
      </c>
    </row>
    <row r="53" spans="1:9">
      <c r="A53" s="26" t="s">
        <v>11</v>
      </c>
      <c r="B53" s="21">
        <v>189</v>
      </c>
      <c r="C53" s="27">
        <v>18415</v>
      </c>
      <c r="E53" s="26" t="s">
        <v>9</v>
      </c>
      <c r="F53" s="21">
        <v>218</v>
      </c>
      <c r="G53" s="22">
        <v>20581</v>
      </c>
      <c r="H53" t="e">
        <f>IF(E53=$I$48,F53,NA())</f>
        <v>#N/A</v>
      </c>
      <c r="I53" t="e">
        <f>IF(E53=$I$48,G53,NA())</f>
        <v>#N/A</v>
      </c>
    </row>
    <row r="54" spans="1:9">
      <c r="A54" s="26" t="s">
        <v>9</v>
      </c>
      <c r="B54" s="21">
        <v>218</v>
      </c>
      <c r="C54" s="27">
        <v>20581</v>
      </c>
      <c r="E54" s="26" t="s">
        <v>6</v>
      </c>
      <c r="F54" s="21">
        <v>207</v>
      </c>
      <c r="G54" s="22">
        <v>20872</v>
      </c>
      <c r="H54">
        <f>IF(E54=$I$48,F54,NA())</f>
        <v>207</v>
      </c>
      <c r="I54">
        <f>IF(E54=$I$48,G54,NA())</f>
        <v>20872</v>
      </c>
    </row>
    <row r="55" spans="1:9">
      <c r="A55" s="26" t="s">
        <v>6</v>
      </c>
      <c r="B55" s="21">
        <v>207</v>
      </c>
      <c r="C55" s="27">
        <v>20872</v>
      </c>
      <c r="E55" s="26" t="s">
        <v>13</v>
      </c>
      <c r="F55" s="21">
        <v>186</v>
      </c>
      <c r="G55" s="22">
        <v>16651</v>
      </c>
      <c r="H55" t="e">
        <f>IF(E55=$I$48,F55,NA())</f>
        <v>#N/A</v>
      </c>
      <c r="I55" t="e">
        <f>IF(E55=$I$48,G55,NA())</f>
        <v>#N/A</v>
      </c>
    </row>
    <row r="56" spans="1:9">
      <c r="A56" s="26" t="s">
        <v>13</v>
      </c>
      <c r="B56" s="21">
        <v>186</v>
      </c>
      <c r="C56" s="27">
        <v>16651</v>
      </c>
      <c r="E56" s="26" t="s">
        <v>10</v>
      </c>
      <c r="F56" s="21">
        <v>200</v>
      </c>
      <c r="G56" s="22">
        <v>20104</v>
      </c>
      <c r="H56" t="e">
        <f>IF(E56=$I$48,F56,NA())</f>
        <v>#N/A</v>
      </c>
      <c r="I56" t="e">
        <f>IF(E56=$I$48,G56,NA())</f>
        <v>#N/A</v>
      </c>
    </row>
    <row r="57" spans="1:9">
      <c r="A57" s="26" t="s">
        <v>10</v>
      </c>
      <c r="B57" s="21">
        <v>200</v>
      </c>
      <c r="C57" s="27">
        <v>20104</v>
      </c>
    </row>
    <row r="58" spans="1:9">
      <c r="A58" s="26" t="s">
        <v>1046</v>
      </c>
      <c r="B58" s="21">
        <v>1000</v>
      </c>
      <c r="C58" s="22">
        <v>96623</v>
      </c>
    </row>
    <row r="65" spans="1:4">
      <c r="A65" s="25" t="s">
        <v>1045</v>
      </c>
    </row>
    <row r="66" spans="1:4">
      <c r="A66" s="28" t="s">
        <v>6</v>
      </c>
    </row>
    <row r="67" spans="1:4">
      <c r="A67" s="26" t="s">
        <v>1046</v>
      </c>
    </row>
    <row r="72" spans="1:4">
      <c r="A72" s="25" t="s">
        <v>1040</v>
      </c>
      <c r="B72" s="25" t="s">
        <v>1074</v>
      </c>
    </row>
    <row r="73" spans="1:4">
      <c r="A73" s="25" t="s">
        <v>1045</v>
      </c>
      <c r="B73" t="s">
        <v>999</v>
      </c>
      <c r="C73" t="s">
        <v>998</v>
      </c>
      <c r="D73" t="s">
        <v>1046</v>
      </c>
    </row>
    <row r="74" spans="1:4">
      <c r="A74" s="26" t="s">
        <v>1002</v>
      </c>
      <c r="B74" s="21">
        <v>144</v>
      </c>
      <c r="C74" s="21">
        <v>132</v>
      </c>
      <c r="D74" s="21">
        <v>276</v>
      </c>
    </row>
    <row r="75" spans="1:4">
      <c r="A75" s="26" t="s">
        <v>1001</v>
      </c>
      <c r="B75" s="21">
        <v>326</v>
      </c>
      <c r="C75" s="21">
        <v>63</v>
      </c>
      <c r="D75" s="21">
        <v>389</v>
      </c>
    </row>
    <row r="76" spans="1:4">
      <c r="A76" s="26" t="s">
        <v>1000</v>
      </c>
      <c r="B76" s="21">
        <v>129</v>
      </c>
      <c r="C76" s="21">
        <v>206</v>
      </c>
      <c r="D76" s="21">
        <v>335</v>
      </c>
    </row>
    <row r="77" spans="1:4">
      <c r="A77" s="26" t="s">
        <v>1046</v>
      </c>
      <c r="B77" s="21">
        <v>599</v>
      </c>
      <c r="C77" s="21">
        <v>401</v>
      </c>
      <c r="D77" s="21">
        <v>1000</v>
      </c>
    </row>
    <row r="83" spans="1:2">
      <c r="A83" s="25" t="s">
        <v>1045</v>
      </c>
      <c r="B83" t="s">
        <v>1040</v>
      </c>
    </row>
    <row r="84" spans="1:2">
      <c r="A84" s="26">
        <v>0</v>
      </c>
      <c r="B84" s="21">
        <v>1</v>
      </c>
    </row>
    <row r="85" spans="1:2">
      <c r="A85" s="26">
        <v>1</v>
      </c>
      <c r="B85" s="21">
        <v>1</v>
      </c>
    </row>
    <row r="86" spans="1:2">
      <c r="A86" s="26">
        <v>2</v>
      </c>
      <c r="B86" s="21">
        <v>11</v>
      </c>
    </row>
    <row r="87" spans="1:2">
      <c r="A87" s="26">
        <v>3</v>
      </c>
      <c r="B87" s="21">
        <v>46</v>
      </c>
    </row>
    <row r="88" spans="1:2">
      <c r="A88" s="26">
        <v>4</v>
      </c>
      <c r="B88" s="21">
        <v>88</v>
      </c>
    </row>
    <row r="89" spans="1:2">
      <c r="A89" s="26">
        <v>5</v>
      </c>
      <c r="B89" s="21">
        <v>60</v>
      </c>
    </row>
    <row r="90" spans="1:2">
      <c r="A90" s="26" t="s">
        <v>1046</v>
      </c>
      <c r="B90" s="21">
        <v>207</v>
      </c>
    </row>
    <row r="101" spans="1:7">
      <c r="A101" s="25" t="s">
        <v>1041</v>
      </c>
      <c r="B101" s="25" t="s">
        <v>1074</v>
      </c>
    </row>
    <row r="102" spans="1:7">
      <c r="A102" s="25" t="s">
        <v>1045</v>
      </c>
      <c r="B102" t="s">
        <v>11</v>
      </c>
      <c r="C102" t="s">
        <v>9</v>
      </c>
      <c r="D102" t="s">
        <v>6</v>
      </c>
      <c r="E102" t="s">
        <v>13</v>
      </c>
      <c r="F102" t="s">
        <v>10</v>
      </c>
      <c r="G102" t="s">
        <v>1046</v>
      </c>
    </row>
    <row r="103" spans="1:7">
      <c r="A103" s="26" t="s">
        <v>1002</v>
      </c>
      <c r="B103" s="24"/>
      <c r="C103" s="24"/>
      <c r="D103" s="24"/>
      <c r="E103" s="24"/>
      <c r="F103" s="24"/>
      <c r="G103" s="24"/>
    </row>
    <row r="104" spans="1:7">
      <c r="A104" s="29" t="s">
        <v>20</v>
      </c>
      <c r="B104" s="22">
        <v>891</v>
      </c>
      <c r="C104" s="22">
        <v>1332</v>
      </c>
      <c r="D104" s="22">
        <v>1282</v>
      </c>
      <c r="E104" s="22">
        <v>739</v>
      </c>
      <c r="F104" s="22">
        <v>560</v>
      </c>
      <c r="G104" s="22">
        <v>4804</v>
      </c>
    </row>
    <row r="105" spans="1:7">
      <c r="A105" s="29" t="s">
        <v>12</v>
      </c>
      <c r="B105" s="22">
        <v>1991</v>
      </c>
      <c r="C105" s="22">
        <v>1886</v>
      </c>
      <c r="D105" s="22">
        <v>1206</v>
      </c>
      <c r="E105" s="22">
        <v>884</v>
      </c>
      <c r="F105" s="22">
        <v>1722</v>
      </c>
      <c r="G105" s="22">
        <v>7689</v>
      </c>
    </row>
    <row r="106" spans="1:7">
      <c r="A106" s="29" t="s">
        <v>8</v>
      </c>
      <c r="B106" s="22">
        <v>1163</v>
      </c>
      <c r="C106" s="22">
        <v>1180</v>
      </c>
      <c r="D106" s="22">
        <v>1616</v>
      </c>
      <c r="E106" s="22">
        <v>1043</v>
      </c>
      <c r="F106" s="22">
        <v>1747</v>
      </c>
      <c r="G106" s="22">
        <v>6749</v>
      </c>
    </row>
    <row r="107" spans="1:7">
      <c r="A107" s="29" t="s">
        <v>16</v>
      </c>
      <c r="B107" s="22">
        <v>1438</v>
      </c>
      <c r="C107" s="22">
        <v>1616</v>
      </c>
      <c r="D107" s="22">
        <v>866</v>
      </c>
      <c r="E107" s="22">
        <v>829</v>
      </c>
      <c r="F107" s="22">
        <v>2070</v>
      </c>
      <c r="G107" s="22">
        <v>6819</v>
      </c>
    </row>
    <row r="108" spans="1:7">
      <c r="A108" s="26" t="s">
        <v>1001</v>
      </c>
      <c r="B108" s="24"/>
      <c r="C108" s="24"/>
      <c r="D108" s="24"/>
      <c r="E108" s="24"/>
      <c r="F108" s="24"/>
      <c r="G108" s="24"/>
    </row>
    <row r="109" spans="1:7">
      <c r="A109" s="29" t="s">
        <v>24</v>
      </c>
      <c r="B109" s="22">
        <v>1233</v>
      </c>
      <c r="C109" s="22">
        <v>223</v>
      </c>
      <c r="D109" s="22">
        <v>1680</v>
      </c>
      <c r="E109" s="22">
        <v>990</v>
      </c>
      <c r="F109" s="22">
        <v>1508</v>
      </c>
      <c r="G109" s="22">
        <v>5634</v>
      </c>
    </row>
    <row r="110" spans="1:7">
      <c r="A110" s="29" t="s">
        <v>15</v>
      </c>
      <c r="B110" s="22">
        <v>1598</v>
      </c>
      <c r="C110" s="22">
        <v>1907</v>
      </c>
      <c r="D110" s="22">
        <v>869</v>
      </c>
      <c r="E110" s="22">
        <v>1426</v>
      </c>
      <c r="F110" s="22">
        <v>1416</v>
      </c>
      <c r="G110" s="22">
        <v>7216</v>
      </c>
    </row>
    <row r="111" spans="1:7">
      <c r="A111" s="29" t="s">
        <v>5</v>
      </c>
      <c r="B111" s="22">
        <v>900</v>
      </c>
      <c r="C111" s="22">
        <v>1016</v>
      </c>
      <c r="D111" s="22">
        <v>960</v>
      </c>
      <c r="E111" s="22">
        <v>940</v>
      </c>
      <c r="F111" s="22">
        <v>1193</v>
      </c>
      <c r="G111" s="22">
        <v>5009</v>
      </c>
    </row>
    <row r="112" spans="1:7">
      <c r="A112" s="29" t="s">
        <v>18</v>
      </c>
      <c r="B112" s="22">
        <v>900</v>
      </c>
      <c r="C112" s="22">
        <v>1470</v>
      </c>
      <c r="D112" s="22">
        <v>1617</v>
      </c>
      <c r="E112" s="22">
        <v>1314</v>
      </c>
      <c r="F112" s="22">
        <v>941</v>
      </c>
      <c r="G112" s="22">
        <v>6242</v>
      </c>
    </row>
    <row r="113" spans="1:7">
      <c r="A113" s="29" t="s">
        <v>14</v>
      </c>
      <c r="B113" s="22">
        <v>1255</v>
      </c>
      <c r="C113" s="22">
        <v>516</v>
      </c>
      <c r="D113" s="22">
        <v>1874</v>
      </c>
      <c r="E113" s="22">
        <v>1863</v>
      </c>
      <c r="F113" s="22">
        <v>1722</v>
      </c>
      <c r="G113" s="22">
        <v>7230</v>
      </c>
    </row>
    <row r="114" spans="1:7">
      <c r="A114" s="29" t="s">
        <v>19</v>
      </c>
      <c r="B114" s="22">
        <v>1138</v>
      </c>
      <c r="C114" s="22">
        <v>1898</v>
      </c>
      <c r="D114" s="22">
        <v>1482</v>
      </c>
      <c r="E114" s="22">
        <v>846</v>
      </c>
      <c r="F114" s="22">
        <v>1154</v>
      </c>
      <c r="G114" s="22">
        <v>6518</v>
      </c>
    </row>
    <row r="115" spans="1:7">
      <c r="A115" s="26" t="s">
        <v>1000</v>
      </c>
      <c r="B115" s="24"/>
      <c r="C115" s="24"/>
      <c r="D115" s="24"/>
      <c r="E115" s="24"/>
      <c r="F115" s="24"/>
      <c r="G115" s="24"/>
    </row>
    <row r="116" spans="1:7">
      <c r="A116" s="29" t="s">
        <v>17</v>
      </c>
      <c r="B116" s="22">
        <v>1655</v>
      </c>
      <c r="C116" s="22">
        <v>805</v>
      </c>
      <c r="D116" s="22">
        <v>2263</v>
      </c>
      <c r="E116" s="22">
        <v>987</v>
      </c>
      <c r="F116" s="22">
        <v>1075</v>
      </c>
      <c r="G116" s="22">
        <v>6785</v>
      </c>
    </row>
    <row r="117" spans="1:7">
      <c r="A117" s="29" t="s">
        <v>23</v>
      </c>
      <c r="B117" s="22">
        <v>1104</v>
      </c>
      <c r="C117" s="22">
        <v>2280</v>
      </c>
      <c r="D117" s="22">
        <v>1445</v>
      </c>
      <c r="E117" s="22">
        <v>1722</v>
      </c>
      <c r="F117" s="22">
        <v>1196</v>
      </c>
      <c r="G117" s="22">
        <v>7747</v>
      </c>
    </row>
    <row r="118" spans="1:7">
      <c r="A118" s="29" t="s">
        <v>7</v>
      </c>
      <c r="B118" s="22">
        <v>372</v>
      </c>
      <c r="C118" s="22">
        <v>1818</v>
      </c>
      <c r="D118" s="22">
        <v>1346</v>
      </c>
      <c r="E118" s="22">
        <v>1156</v>
      </c>
      <c r="F118" s="22">
        <v>1484</v>
      </c>
      <c r="G118" s="22">
        <v>6176</v>
      </c>
    </row>
    <row r="119" spans="1:7">
      <c r="A119" s="29" t="s">
        <v>22</v>
      </c>
      <c r="B119" s="22">
        <v>1415</v>
      </c>
      <c r="C119" s="22">
        <v>1271</v>
      </c>
      <c r="D119" s="22">
        <v>1214</v>
      </c>
      <c r="E119" s="22">
        <v>1135</v>
      </c>
      <c r="F119" s="22">
        <v>1566</v>
      </c>
      <c r="G119" s="22">
        <v>6601</v>
      </c>
    </row>
    <row r="120" spans="1:7">
      <c r="A120" s="29" t="s">
        <v>21</v>
      </c>
      <c r="B120" s="22">
        <v>1362</v>
      </c>
      <c r="C120" s="22">
        <v>1363</v>
      </c>
      <c r="D120" s="22">
        <v>1152</v>
      </c>
      <c r="E120" s="22">
        <v>777</v>
      </c>
      <c r="F120" s="22">
        <v>750</v>
      </c>
      <c r="G120" s="22">
        <v>5404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003"/>
  <sheetViews>
    <sheetView zoomScale="115" zoomScaleNormal="115" workbookViewId="0">
      <selection activeCell="B1" sqref="B1"/>
    </sheetView>
  </sheetViews>
  <sheetFormatPr defaultRowHeight="14.25"/>
  <cols>
    <col min="1" max="1" width="3.25" customWidth="1"/>
    <col min="2" max="2" width="14.625" customWidth="1"/>
    <col min="3" max="3" width="12.875" customWidth="1"/>
    <col min="4" max="4" width="17.625" customWidth="1"/>
    <col min="5" max="5" width="15" customWidth="1"/>
    <col min="6" max="6" width="16.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c r="B1" s="5" t="s">
        <v>1003</v>
      </c>
    </row>
    <row r="2" spans="2:20">
      <c r="R2" s="1"/>
    </row>
    <row r="3" spans="2:20" ht="1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V35"/>
  <sheetViews>
    <sheetView tabSelected="1" topLeftCell="A7" zoomScale="75" zoomScaleNormal="75" workbookViewId="0">
      <selection activeCell="J36" sqref="J36:J37"/>
    </sheetView>
  </sheetViews>
  <sheetFormatPr defaultRowHeight="14.25"/>
  <cols>
    <col min="1" max="1" width="0.875" style="20" customWidth="1"/>
    <col min="2" max="2" width="1.5" style="20" customWidth="1"/>
    <col min="3" max="15" width="9" style="20"/>
    <col min="16" max="16" width="13.5" style="20" customWidth="1"/>
    <col min="17" max="21" width="9" style="20"/>
    <col min="22" max="22" width="11.25" style="20" customWidth="1"/>
    <col min="23" max="16384" width="9" style="20"/>
  </cols>
  <sheetData>
    <row r="2" spans="3:3" ht="25.5" customHeight="1">
      <c r="C2" s="33" t="s">
        <v>1075</v>
      </c>
    </row>
    <row r="17" spans="16:22">
      <c r="P17" s="30"/>
      <c r="Q17" s="30" t="str">
        <f>pivots!B102</f>
        <v>R01</v>
      </c>
      <c r="R17" s="30" t="str">
        <f>pivots!C102</f>
        <v>R02</v>
      </c>
      <c r="S17" s="30" t="str">
        <f>pivots!D102</f>
        <v>R03</v>
      </c>
      <c r="T17" s="30" t="str">
        <f>pivots!E102</f>
        <v>R04</v>
      </c>
      <c r="U17" s="30" t="str">
        <f>pivots!F102</f>
        <v>R05</v>
      </c>
      <c r="V17" s="30" t="str">
        <f>pivots!G102</f>
        <v>Grand Total</v>
      </c>
    </row>
    <row r="18" spans="16:22">
      <c r="P18" s="32" t="str">
        <f>pivots!A103</f>
        <v>Cincinnati</v>
      </c>
      <c r="Q18" s="31"/>
      <c r="R18" s="31"/>
      <c r="S18" s="31"/>
      <c r="T18" s="31"/>
      <c r="U18" s="31"/>
      <c r="V18" s="31"/>
    </row>
    <row r="19" spans="16:22">
      <c r="P19" s="30" t="str">
        <f>pivots!A104</f>
        <v>C0003</v>
      </c>
      <c r="Q19" s="31">
        <f>pivots!B104</f>
        <v>891</v>
      </c>
      <c r="R19" s="31">
        <f>pivots!C104</f>
        <v>1332</v>
      </c>
      <c r="S19" s="31">
        <f>pivots!D104</f>
        <v>1282</v>
      </c>
      <c r="T19" s="31">
        <f>pivots!E104</f>
        <v>739</v>
      </c>
      <c r="U19" s="31">
        <f>pivots!F104</f>
        <v>560</v>
      </c>
      <c r="V19" s="31">
        <f>pivots!G104</f>
        <v>4804</v>
      </c>
    </row>
    <row r="20" spans="16:22">
      <c r="P20" s="30" t="str">
        <f>pivots!A105</f>
        <v>C0004</v>
      </c>
      <c r="Q20" s="31">
        <f>pivots!B105</f>
        <v>1991</v>
      </c>
      <c r="R20" s="31">
        <f>pivots!C105</f>
        <v>1886</v>
      </c>
      <c r="S20" s="31">
        <f>pivots!D105</f>
        <v>1206</v>
      </c>
      <c r="T20" s="31">
        <f>pivots!E105</f>
        <v>884</v>
      </c>
      <c r="U20" s="31">
        <f>pivots!F105</f>
        <v>1722</v>
      </c>
      <c r="V20" s="31">
        <f>pivots!G105</f>
        <v>7689</v>
      </c>
    </row>
    <row r="21" spans="16:22">
      <c r="P21" s="30" t="str">
        <f>pivots!A106</f>
        <v>C0011</v>
      </c>
      <c r="Q21" s="31">
        <f>pivots!B106</f>
        <v>1163</v>
      </c>
      <c r="R21" s="31">
        <f>pivots!C106</f>
        <v>1180</v>
      </c>
      <c r="S21" s="31">
        <f>pivots!D106</f>
        <v>1616</v>
      </c>
      <c r="T21" s="31">
        <f>pivots!E106</f>
        <v>1043</v>
      </c>
      <c r="U21" s="31">
        <f>pivots!F106</f>
        <v>1747</v>
      </c>
      <c r="V21" s="31">
        <f>pivots!G106</f>
        <v>6749</v>
      </c>
    </row>
    <row r="22" spans="16:22">
      <c r="P22" s="30" t="str">
        <f>pivots!A107</f>
        <v>C0012</v>
      </c>
      <c r="Q22" s="31">
        <f>pivots!B107</f>
        <v>1438</v>
      </c>
      <c r="R22" s="31">
        <f>pivots!C107</f>
        <v>1616</v>
      </c>
      <c r="S22" s="31">
        <f>pivots!D107</f>
        <v>866</v>
      </c>
      <c r="T22" s="31">
        <f>pivots!E107</f>
        <v>829</v>
      </c>
      <c r="U22" s="31">
        <f>pivots!F107</f>
        <v>2070</v>
      </c>
      <c r="V22" s="31">
        <f>pivots!G107</f>
        <v>6819</v>
      </c>
    </row>
    <row r="23" spans="16:22">
      <c r="P23" s="32" t="str">
        <f>pivots!A108</f>
        <v>Cleveland</v>
      </c>
      <c r="Q23" s="31"/>
      <c r="R23" s="31"/>
      <c r="S23" s="31"/>
      <c r="T23" s="31"/>
      <c r="U23" s="31"/>
      <c r="V23" s="31"/>
    </row>
    <row r="24" spans="16:22">
      <c r="P24" s="30" t="str">
        <f>pivots!A109</f>
        <v>C0002</v>
      </c>
      <c r="Q24" s="31">
        <f>pivots!B109</f>
        <v>1233</v>
      </c>
      <c r="R24" s="31">
        <f>pivots!C109</f>
        <v>223</v>
      </c>
      <c r="S24" s="31">
        <f>pivots!D109</f>
        <v>1680</v>
      </c>
      <c r="T24" s="31">
        <f>pivots!E109</f>
        <v>990</v>
      </c>
      <c r="U24" s="31">
        <f>pivots!F109</f>
        <v>1508</v>
      </c>
      <c r="V24" s="31">
        <f>pivots!G109</f>
        <v>5634</v>
      </c>
    </row>
    <row r="25" spans="16:22">
      <c r="P25" s="30" t="str">
        <f>pivots!A110</f>
        <v>C0007</v>
      </c>
      <c r="Q25" s="31">
        <f>pivots!B110</f>
        <v>1598</v>
      </c>
      <c r="R25" s="31">
        <f>pivots!C110</f>
        <v>1907</v>
      </c>
      <c r="S25" s="31">
        <f>pivots!D110</f>
        <v>869</v>
      </c>
      <c r="T25" s="31">
        <f>pivots!E110</f>
        <v>1426</v>
      </c>
      <c r="U25" s="31">
        <f>pivots!F110</f>
        <v>1416</v>
      </c>
      <c r="V25" s="31">
        <f>pivots!G110</f>
        <v>7216</v>
      </c>
    </row>
    <row r="26" spans="16:22">
      <c r="P26" s="30" t="str">
        <f>pivots!A111</f>
        <v>C0008</v>
      </c>
      <c r="Q26" s="31">
        <f>pivots!B111</f>
        <v>900</v>
      </c>
      <c r="R26" s="31">
        <f>pivots!C111</f>
        <v>1016</v>
      </c>
      <c r="S26" s="31">
        <f>pivots!D111</f>
        <v>960</v>
      </c>
      <c r="T26" s="31">
        <f>pivots!E111</f>
        <v>940</v>
      </c>
      <c r="U26" s="31">
        <f>pivots!F111</f>
        <v>1193</v>
      </c>
      <c r="V26" s="31">
        <f>pivots!G111</f>
        <v>5009</v>
      </c>
    </row>
    <row r="27" spans="16:22">
      <c r="P27" s="30" t="str">
        <f>pivots!A112</f>
        <v>C0010</v>
      </c>
      <c r="Q27" s="31">
        <f>pivots!B112</f>
        <v>900</v>
      </c>
      <c r="R27" s="31">
        <f>pivots!C112</f>
        <v>1470</v>
      </c>
      <c r="S27" s="31">
        <f>pivots!D112</f>
        <v>1617</v>
      </c>
      <c r="T27" s="31">
        <f>pivots!E112</f>
        <v>1314</v>
      </c>
      <c r="U27" s="31">
        <f>pivots!F112</f>
        <v>941</v>
      </c>
      <c r="V27" s="31">
        <f>pivots!G112</f>
        <v>6242</v>
      </c>
    </row>
    <row r="28" spans="16:22">
      <c r="P28" s="30" t="str">
        <f>pivots!A113</f>
        <v>C0013</v>
      </c>
      <c r="Q28" s="31">
        <f>pivots!B113</f>
        <v>1255</v>
      </c>
      <c r="R28" s="31">
        <f>pivots!C113</f>
        <v>516</v>
      </c>
      <c r="S28" s="31">
        <f>pivots!D113</f>
        <v>1874</v>
      </c>
      <c r="T28" s="31">
        <f>pivots!E113</f>
        <v>1863</v>
      </c>
      <c r="U28" s="31">
        <f>pivots!F113</f>
        <v>1722</v>
      </c>
      <c r="V28" s="31">
        <f>pivots!G113</f>
        <v>7230</v>
      </c>
    </row>
    <row r="29" spans="16:22">
      <c r="P29" s="30" t="str">
        <f>pivots!A114</f>
        <v>C0015</v>
      </c>
      <c r="Q29" s="31">
        <f>pivots!B114</f>
        <v>1138</v>
      </c>
      <c r="R29" s="31">
        <f>pivots!C114</f>
        <v>1898</v>
      </c>
      <c r="S29" s="31">
        <f>pivots!D114</f>
        <v>1482</v>
      </c>
      <c r="T29" s="31">
        <f>pivots!E114</f>
        <v>846</v>
      </c>
      <c r="U29" s="31">
        <f>pivots!F114</f>
        <v>1154</v>
      </c>
      <c r="V29" s="31">
        <f>pivots!G114</f>
        <v>6518</v>
      </c>
    </row>
    <row r="30" spans="16:22">
      <c r="P30" s="32" t="str">
        <f>pivots!A115</f>
        <v>Columbus</v>
      </c>
      <c r="Q30" s="31"/>
      <c r="R30" s="31"/>
      <c r="S30" s="31"/>
      <c r="T30" s="31"/>
      <c r="U30" s="31"/>
      <c r="V30" s="31"/>
    </row>
    <row r="31" spans="16:22">
      <c r="P31" s="30" t="str">
        <f>pivots!A116</f>
        <v>C0001</v>
      </c>
      <c r="Q31" s="31">
        <f>pivots!B116</f>
        <v>1655</v>
      </c>
      <c r="R31" s="31">
        <f>pivots!C116</f>
        <v>805</v>
      </c>
      <c r="S31" s="31">
        <f>pivots!D116</f>
        <v>2263</v>
      </c>
      <c r="T31" s="31">
        <f>pivots!E116</f>
        <v>987</v>
      </c>
      <c r="U31" s="31">
        <f>pivots!F116</f>
        <v>1075</v>
      </c>
      <c r="V31" s="31">
        <f>pivots!G116</f>
        <v>6785</v>
      </c>
    </row>
    <row r="32" spans="16:22">
      <c r="P32" s="30" t="str">
        <f>pivots!A117</f>
        <v>C0005</v>
      </c>
      <c r="Q32" s="31">
        <f>pivots!B117</f>
        <v>1104</v>
      </c>
      <c r="R32" s="31">
        <f>pivots!C117</f>
        <v>2280</v>
      </c>
      <c r="S32" s="31">
        <f>pivots!D117</f>
        <v>1445</v>
      </c>
      <c r="T32" s="31">
        <f>pivots!E117</f>
        <v>1722</v>
      </c>
      <c r="U32" s="31">
        <f>pivots!F117</f>
        <v>1196</v>
      </c>
      <c r="V32" s="31">
        <f>pivots!G117</f>
        <v>7747</v>
      </c>
    </row>
    <row r="33" spans="16:22">
      <c r="P33" s="30" t="str">
        <f>pivots!A118</f>
        <v>C0006</v>
      </c>
      <c r="Q33" s="31">
        <f>pivots!B118</f>
        <v>372</v>
      </c>
      <c r="R33" s="31">
        <f>pivots!C118</f>
        <v>1818</v>
      </c>
      <c r="S33" s="31">
        <f>pivots!D118</f>
        <v>1346</v>
      </c>
      <c r="T33" s="31">
        <f>pivots!E118</f>
        <v>1156</v>
      </c>
      <c r="U33" s="31">
        <f>pivots!F118</f>
        <v>1484</v>
      </c>
      <c r="V33" s="31">
        <f>pivots!G118</f>
        <v>6176</v>
      </c>
    </row>
    <row r="34" spans="16:22">
      <c r="P34" s="30" t="str">
        <f>pivots!A119</f>
        <v>C0009</v>
      </c>
      <c r="Q34" s="31">
        <f>pivots!B119</f>
        <v>1415</v>
      </c>
      <c r="R34" s="31">
        <f>pivots!C119</f>
        <v>1271</v>
      </c>
      <c r="S34" s="31">
        <f>pivots!D119</f>
        <v>1214</v>
      </c>
      <c r="T34" s="31">
        <f>pivots!E119</f>
        <v>1135</v>
      </c>
      <c r="U34" s="31">
        <f>pivots!F119</f>
        <v>1566</v>
      </c>
      <c r="V34" s="31">
        <f>pivots!G119</f>
        <v>6601</v>
      </c>
    </row>
    <row r="35" spans="16:22">
      <c r="P35" s="30" t="str">
        <f>pivots!A120</f>
        <v>C0014</v>
      </c>
      <c r="Q35" s="31">
        <f>pivots!B120</f>
        <v>1362</v>
      </c>
      <c r="R35" s="31">
        <f>pivots!C120</f>
        <v>1363</v>
      </c>
      <c r="S35" s="31">
        <f>pivots!D120</f>
        <v>1152</v>
      </c>
      <c r="T35" s="31">
        <f>pivots!E120</f>
        <v>777</v>
      </c>
      <c r="U35" s="31">
        <f>pivots!F120</f>
        <v>750</v>
      </c>
      <c r="V35" s="31">
        <f>pivots!G120</f>
        <v>5404</v>
      </c>
    </row>
  </sheetData>
  <conditionalFormatting sqref="Q38:U38 Q19:U35">
    <cfRule type="dataBar" priority="3">
      <dataBar>
        <cfvo type="num" val="0"/>
        <cfvo type="formula" val="MAX($Q$19:$U$35)*2"/>
        <color theme="7" tint="-0.499984740745262"/>
      </dataBar>
      <extLst>
        <ext xmlns:x14="http://schemas.microsoft.com/office/spreadsheetml/2009/9/main" uri="{B025F937-C7B1-47D3-B67F-A62EFF666E3E}">
          <x14:id>{ECBBC8FB-04DE-473F-8A97-6ACE7943AC87}</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ECBBC8FB-04DE-473F-8A97-6ACE7943AC87}">
            <x14:dataBar minLength="0" maxLength="100" gradient="0">
              <x14:cfvo type="num">
                <xm:f>0</xm:f>
              </x14:cfvo>
              <x14:cfvo type="formula">
                <xm:f>MAX($Q$19:$U$35)*2</xm:f>
              </x14:cfvo>
              <x14:negativeFillColor rgb="FFFF0000"/>
              <x14:axisColor rgb="FF000000"/>
            </x14:dataBar>
          </x14:cfRule>
          <xm:sqref>Q38:U38 Q19:U35</xm:sqref>
        </x14:conditionalFormatting>
        <x14:conditionalFormatting xmlns:xm="http://schemas.microsoft.com/office/excel/2006/main">
          <x14:cfRule type="expression" priority="6" id="{13F08B75-ACF3-49D1-BA06-9D65FC99BFE9}">
            <xm:f>Q$17=pivots!$A$66</xm:f>
            <x14:dxf>
              <fill>
                <patternFill>
                  <bgColor rgb="FFFF9933"/>
                </patternFill>
              </fill>
            </x14:dxf>
          </x14:cfRule>
          <xm:sqref>Q17:U35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Data</vt:lpstr>
      <vt:lpstr>Customer center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Admin</cp:lastModifiedBy>
  <dcterms:created xsi:type="dcterms:W3CDTF">2021-03-14T20:21:32Z</dcterms:created>
  <dcterms:modified xsi:type="dcterms:W3CDTF">2026-09-22T18:12:09Z</dcterms:modified>
</cp:coreProperties>
</file>